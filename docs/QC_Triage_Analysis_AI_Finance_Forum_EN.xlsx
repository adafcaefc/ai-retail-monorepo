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iage Detail" sheetId="2" state="visible" r:id="rId4"/>
    <sheet name="Feature Status" sheetId="3" state="visible" r:id="rId5"/>
    <sheet name="Work Sequence" sheetId="4" state="visible" r:id="rId6"/>
  </sheets>
  <definedNames>
    <definedName function="false" hidden="true" localSheetId="1" name="_xlnm._FilterDatabase" vbProcedure="false">'Triage Detail'!$A$4:$G$72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<sst xmlns="http://schemas.openxmlformats.org/spreadsheetml/2006/main" count="648" uniqueCount="350">
  <si>
    <t xml:space="preserve">QC Triage — Executive Summary</t>
  </si>
  <si>
    <t xml:space="preserve">AI Finance Forum  ·  analysis date 29 Jul 2026  ·  62 QC findings + 31 manual tests</t>
  </si>
  <si>
    <t xml:space="preserve">Difficulty clusters</t>
  </si>
  <si>
    <t xml:space="preserve">Cluster</t>
  </si>
  <si>
    <t xml:space="preserve">Count</t>
  </si>
  <si>
    <t xml:space="preserve">Estimate</t>
  </si>
  <si>
    <t xml:space="preserve">Easy</t>
  </si>
  <si>
    <t xml:space="preserve">2–3 days</t>
  </si>
  <si>
    <t xml:space="preserve">Medium</t>
  </si>
  <si>
    <t xml:space="preserve">2–3 weeks</t>
  </si>
  <si>
    <t xml:space="preserve">Hard</t>
  </si>
  <si>
    <t xml:space="preserve">4–6 weeks</t>
  </si>
  <si>
    <t xml:space="preserve">Done</t>
  </si>
  <si>
    <t xml:space="preserve">— (already done / closed)</t>
  </si>
  <si>
    <t xml:space="preserve">Total work items</t>
  </si>
  <si>
    <t xml:space="preserve">QC-049 counted once (Easy).</t>
  </si>
  <si>
    <t xml:space="preserve">Feature status (before any coding)</t>
  </si>
  <si>
    <t xml:space="preserve">State</t>
  </si>
  <si>
    <t xml:space="preserve">Items</t>
  </si>
  <si>
    <t xml:space="preserve">Already exists — verify only</t>
  </si>
  <si>
    <t xml:space="preserve">QC-049, QC-062</t>
  </si>
  <si>
    <t xml:space="preserve">Closed — not a defect</t>
  </si>
  <si>
    <t xml:space="preserve">QC-050, QC-045</t>
  </si>
  <si>
    <t xml:space="preserve">Partially exists — finish it</t>
  </si>
  <si>
    <t xml:space="preserve">QC-053, QC-054, QC-055, QC-056, QC-059</t>
  </si>
  <si>
    <t xml:space="preserve">Not built at all</t>
  </si>
  <si>
    <t xml:space="preserve">QC-035, QC-043, QC-044, QC-051, QC-052, QC-057, QC-058, QC-060, QC-061</t>
  </si>
  <si>
    <t xml:space="preserve">Code exists but still wrong</t>
  </si>
  <si>
    <t xml:space="preserve">QC-006, QC-015, QC-020, QC-032, QC-039</t>
  </si>
  <si>
    <t xml:space="preserve">The 8 "Critical" findings, re-read</t>
  </si>
  <si>
    <t xml:space="preserve">Finding</t>
  </si>
  <si>
    <t xml:space="preserve">Verdict</t>
  </si>
  <si>
    <t xml:space="preserve">Why</t>
  </si>
  <si>
    <t xml:space="preserve">QC-049</t>
  </si>
  <si>
    <t xml:space="preserve">Already DONE</t>
  </si>
  <si>
    <t xml:space="preserve">Explanation panel is already coded.</t>
  </si>
  <si>
    <t xml:space="preserve">QC-050</t>
  </si>
  <si>
    <t xml:space="preserve">CLOSED</t>
  </si>
  <si>
    <t xml:space="preserve">Guided story mode — not a defect.</t>
  </si>
  <si>
    <t xml:space="preserve">QC-006</t>
  </si>
  <si>
    <t xml:space="preserve">EASY</t>
  </si>
  <si>
    <t xml:space="preserve">Just clear 190 test conversations.</t>
  </si>
  <si>
    <t xml:space="preserve">QC-001–QC-005</t>
  </si>
  <si>
    <t xml:space="preserve">ONE root</t>
  </si>
  <si>
    <t xml:space="preserve">All five trace to a split dataset + hand-typed impact text.</t>
  </si>
  <si>
    <t xml:space="preserve">⇒ The eight "Critical" items are really 2 work packages, not 8.</t>
  </si>
  <si>
    <t xml:space="preserve">Do this before touching any code</t>
  </si>
  <si>
    <t xml:space="preserve">1. Redeploy the latest build to Azure and re-run sheet 02B. The tracker tested the 28-Jul Azure build, but the repo is already ahead — several "Open" findings are already coded and will simply drop.</t>
  </si>
  <si>
    <t xml:space="preserve">2. Chase Dataset_AI_Finance_Forum_v1.xlsx. This replacement dataset (referenced by sheet 04) is missing from the repo and blocks the 4 heaviest findings (QC-002, QC-003, QC-043, QC-044). Without it, the Hard cluster cannot start.</t>
  </si>
  <si>
    <t xml:space="preserve">Key takeaway</t>
  </si>
  <si>
    <t xml:space="preserve">The headline number (62 findings) overstates the work. Two features are already built, two are closed, and the eight "Critical" items collapse into two packages. Redeploy and retest first, knock out the Easy cluster (MT-018 crash first), then attack the two computed-number packages that a CFO is most likely to catch on stage — before spending weeks on the dataset re-architecture.</t>
  </si>
  <si>
    <t xml:space="preserve">QC Triage — AI Finance Forum  ·  Item-level detail</t>
  </si>
  <si>
    <t xml:space="preserve">62 QC findings + manual-test items, triaged by difficulty. Source: QC_Testing_Tracker_AI_Finance_Forum_v2.0_20260728.xlsx. Verified by reading code on local repo main@76b3231 (not a running-app test). Analysis date: 29 Jul 2026.</t>
  </si>
  <si>
    <t xml:space="preserve">ID</t>
  </si>
  <si>
    <t xml:space="preserve">Finding / Feature</t>
  </si>
  <si>
    <t xml:space="preserve">Feature status</t>
  </si>
  <si>
    <t xml:space="preserve">Difficulty</t>
  </si>
  <si>
    <t xml:space="preserve">Group</t>
  </si>
  <si>
    <t xml:space="preserve">Phase</t>
  </si>
  <si>
    <t xml:space="preserve">Notes / How to fix</t>
  </si>
  <si>
    <t xml:space="preserve">MT-018</t>
  </si>
  <si>
    <t xml:space="preserve">Cross-agent scenario crashes: "Object of type Decimal is not JSON serializable"</t>
  </si>
  <si>
    <t xml:space="preserve">Still broken</t>
  </si>
  <si>
    <t xml:space="preserve">-</t>
  </si>
  <si>
    <t xml:space="preserve">1</t>
  </si>
  <si>
    <t xml:space="preserve">Crash bug — do this first. Coerce Decimal→float in the serializer. It kills the flagship cross-agent scenario, which is the main selling point of the demo.</t>
  </si>
  <si>
    <t xml:space="preserve">QC-039</t>
  </si>
  <si>
    <t xml:space="preserve">Remove the word "illustrative" from the dashboards</t>
  </si>
  <si>
    <t xml:space="preserve">Delete the string in 8 locations. Leave the instance in the prompt config — that is an instruction to the LLM, not UI text.</t>
  </si>
  <si>
    <t xml:space="preserve">Clear 190 test conversations / unfiltered /conversations endpoint</t>
  </si>
  <si>
    <t xml:space="preserve">DELETE the rows, or add a filter to the /conversations query.</t>
  </si>
  <si>
    <t xml:space="preserve">QC-041</t>
  </si>
  <si>
    <t xml:space="preserve">Alert titled "W5" while the data is "W6"</t>
  </si>
  <si>
    <t xml:space="preserve">Needs fix</t>
  </si>
  <si>
    <t xml:space="preserve">Template variable swapped.</t>
  </si>
  <si>
    <t xml:space="preserve">QC-009</t>
  </si>
  <si>
    <t xml:space="preserve">Two different EBITDA-margin targets shown</t>
  </si>
  <si>
    <t xml:space="preserve">Change the hardcoded 15% → 15.7%.</t>
  </si>
  <si>
    <t xml:space="preserve">QC-013</t>
  </si>
  <si>
    <t xml:space="preserve">Bar labelled "Current 95%"</t>
  </si>
  <si>
    <t xml:space="preserve">Rename to "95% for all", or align the assumption to 7,557.5.</t>
  </si>
  <si>
    <t xml:space="preserve">QC-014</t>
  </si>
  <si>
    <t xml:space="preserve">KPI says 22 flags but the table shows 10 rows</t>
  </si>
  <si>
    <t xml:space="preserve">Add a caption "showing 10 of 22".</t>
  </si>
  <si>
    <t xml:space="preserve">QC-018</t>
  </si>
  <si>
    <t xml:space="preserve">Top-2 overdue-share label</t>
  </si>
  <si>
    <t xml:space="preserve">Rename the label.</t>
  </si>
  <si>
    <t xml:space="preserve">QC-025</t>
  </si>
  <si>
    <t xml:space="preserve">FX-exposure label</t>
  </si>
  <si>
    <t xml:space="preserve">Rename the label and invert the display logic.</t>
  </si>
  <si>
    <t xml:space="preserve">QC-030</t>
  </si>
  <si>
    <t xml:space="preserve">"Overdue AR" label used for only 2 customers</t>
  </si>
  <si>
    <t xml:space="preserve">QC-031</t>
  </si>
  <si>
    <t xml:space="preserve">Annual figure shown against a per-cycle one</t>
  </si>
  <si>
    <t xml:space="preserve">Add an "(annualized)" label.</t>
  </si>
  <si>
    <t xml:space="preserve">QC-032</t>
  </si>
  <si>
    <t xml:space="preserve">900 mn shown under 3 different names</t>
  </si>
  <si>
    <t xml:space="preserve">Unify the naming.</t>
  </si>
  <si>
    <t xml:space="preserve">QC-012</t>
  </si>
  <si>
    <t xml:space="preserve">Two near-identical numbers (-1,880 vs -1,881)</t>
  </si>
  <si>
    <t xml:space="preserve">Differentiate them by rounding or label.</t>
  </si>
  <si>
    <t xml:space="preserve">QC-027</t>
  </si>
  <si>
    <t xml:space="preserve">Margin truncated instead of rounded</t>
  </si>
  <si>
    <t xml:space="preserve">truncate → round half up.</t>
  </si>
  <si>
    <t xml:space="preserve">QC-028</t>
  </si>
  <si>
    <t xml:space="preserve">DSO gauge shows 120% progress</t>
  </si>
  <si>
    <t xml:space="preserve">Flip the gauge direction.</t>
  </si>
  <si>
    <t xml:space="preserve">QC-029</t>
  </si>
  <si>
    <t xml:space="preserve">Inconsistent number formatting</t>
  </si>
  <si>
    <t xml:space="preserve">One shared formatter helper, used everywhere.</t>
  </si>
  <si>
    <t xml:space="preserve">QC-033</t>
  </si>
  <si>
    <t xml:space="preserve">Chart-pair ordering is reversed</t>
  </si>
  <si>
    <t xml:space="preserve">Align the config order.</t>
  </si>
  <si>
    <t xml:space="preserve">QC-034</t>
  </si>
  <si>
    <t xml:space="preserve">Zero-height bar sitting beside a valued bar</t>
  </si>
  <si>
    <t xml:space="preserve">Change the chart type or add an explicit label.</t>
  </si>
  <si>
    <t xml:space="preserve">QC-036</t>
  </si>
  <si>
    <t xml:space="preserve">Side chart duplicates the main chart</t>
  </si>
  <si>
    <t xml:space="preserve">Change the side-slot content.</t>
  </si>
  <si>
    <t xml:space="preserve">QC-038</t>
  </si>
  <si>
    <t xml:space="preserve">Bucket column dumps everything into the oldest bucket</t>
  </si>
  <si>
    <t xml:space="preserve">Rename the column to "Oldest bucket".</t>
  </si>
  <si>
    <t xml:space="preserve">QC-024</t>
  </si>
  <si>
    <t xml:space="preserve">Leakage opens on an empty chart</t>
  </si>
  <si>
    <t xml:space="preserve">Change default_view (workaround; the true root cause is QC-001).</t>
  </si>
  <si>
    <t xml:space="preserve">QC-042</t>
  </si>
  <si>
    <t xml:space="preserve">Starter prompts are all single-agent</t>
  </si>
  <si>
    <t xml:space="preserve">Add 2 cross-agent prompts in the config JSON.</t>
  </si>
  <si>
    <t xml:space="preserve">Formula-explanation (Reasoning) panel</t>
  </si>
  <si>
    <t xml:space="preserve">Already exists</t>
  </si>
  <si>
    <t xml:space="preserve">Already coded (infoRegistry.js, InfoCard.jsx, openInfo()). Only verify the ~40 entries are complete.</t>
  </si>
  <si>
    <t xml:space="preserve">QC-059</t>
  </si>
  <si>
    <t xml:space="preserve">Global reset button</t>
  </si>
  <si>
    <t xml:space="preserve">Partially exists</t>
  </si>
  <si>
    <t xml:space="preserve">Slider reset already works; add a one-click global reset (view + simulator + chat) using the existing endpoint.</t>
  </si>
  <si>
    <t xml:space="preserve">QC-004</t>
  </si>
  <si>
    <t xml:space="preserve">Payment deferral moves headroom the wrong way</t>
  </si>
  <si>
    <t xml:space="preserve">A</t>
  </si>
  <si>
    <t xml:space="preserve">2</t>
  </si>
  <si>
    <t xml:space="preserve">Group A shares one root: the impact text is typed by hand in the spec. Fix once — build an evaluator that derives impact from forecast/baseline, then render from it. Do 004/005/016/017/019 as ONE package.</t>
  </si>
  <si>
    <t xml:space="preserve">QC-005</t>
  </si>
  <si>
    <t xml:space="preserve">Headroom mixed up with cash balance</t>
  </si>
  <si>
    <t xml:space="preserve">Same root as Group A — computed-impact evaluator.</t>
  </si>
  <si>
    <t xml:space="preserve">QC-016</t>
  </si>
  <si>
    <t xml:space="preserve">DSO impact does not match its recommendation</t>
  </si>
  <si>
    <t xml:space="preserve">Same root as Group A.</t>
  </si>
  <si>
    <t xml:space="preserve">QC-017</t>
  </si>
  <si>
    <t xml:space="preserve">Combined action only partly computed</t>
  </si>
  <si>
    <t xml:space="preserve">QC-019</t>
  </si>
  <si>
    <t xml:space="preserve">Credit line keyed to the wrong week</t>
  </si>
  <si>
    <t xml:space="preserve">QC-007</t>
  </si>
  <si>
    <t xml:space="preserve">High-risk KPI (2,500) vs tier chart (5,000)</t>
  </si>
  <si>
    <t xml:space="preserve">B</t>
  </si>
  <si>
    <t xml:space="preserve">Group B: one number, one meaning.</t>
  </si>
  <si>
    <t xml:space="preserve">QC-008</t>
  </si>
  <si>
    <t xml:space="preserve">"Top 5" has 3 different definitions</t>
  </si>
  <si>
    <t xml:space="preserve">Standardize a single definition.</t>
  </si>
  <si>
    <t xml:space="preserve">QC-011</t>
  </si>
  <si>
    <t xml:space="preserve">COGS variance shown as 2,930 vs 1,880</t>
  </si>
  <si>
    <t xml:space="preserve">Reconcile to one figure.</t>
  </si>
  <si>
    <t xml:space="preserve">QC-015</t>
  </si>
  <si>
    <t xml:space="preserve">Split invoice 1,950 sits outside the 7,845 total</t>
  </si>
  <si>
    <t xml:space="preserve">Leakage baseline is hardcoded (overbill_amount=400, other_blocked=500, at_risk=7845).</t>
  </si>
  <si>
    <t xml:space="preserve">QC-040</t>
  </si>
  <si>
    <t xml:space="preserve">Forecast before/after customer deferral is unclear</t>
  </si>
  <si>
    <t xml:space="preserve">Make the two states explicit.</t>
  </si>
  <si>
    <t xml:space="preserve">QC-001</t>
  </si>
  <si>
    <t xml:space="preserve">Leakage category chart returns all zeros</t>
  </si>
  <si>
    <t xml:space="preserve">C</t>
  </si>
  <si>
    <t xml:space="preserve">3</t>
  </si>
  <si>
    <t xml:space="preserve">Amount column not mapped for import batch 17. Difficulty is medium, but it is sequenced inside the Phase-3 dependency chain.</t>
  </si>
  <si>
    <t xml:space="preserve">QC-020</t>
  </si>
  <si>
    <t xml:space="preserve">Agent-name key inconsistent across endpoints</t>
  </si>
  <si>
    <t xml:space="preserve">4</t>
  </si>
  <si>
    <t xml:space="preserve">Registry uses finance.collection but the payload uses "collections".</t>
  </si>
  <si>
    <t xml:space="preserve">QC-021</t>
  </si>
  <si>
    <t xml:space="preserve">47 action cards are duplicative</t>
  </si>
  <si>
    <t xml:space="preserve">Trim to 3–5 per agent.</t>
  </si>
  <si>
    <t xml:space="preserve">QC-023</t>
  </si>
  <si>
    <t xml:space="preserve">47 alerts really tell ~8 stories</t>
  </si>
  <si>
    <t xml:space="preserve">De-duplicate.</t>
  </si>
  <si>
    <t xml:space="preserve">QC-026</t>
  </si>
  <si>
    <t xml:space="preserve">Recovery rate ignores receivable age</t>
  </si>
  <si>
    <t xml:space="preserve">Fold ageing into the calculation.</t>
  </si>
  <si>
    <t xml:space="preserve">QC-046</t>
  </si>
  <si>
    <t xml:space="preserve">Vendor score = flag count × 20</t>
  </si>
  <si>
    <t xml:space="preserve">Ignores amount and severity; reweight the score.</t>
  </si>
  <si>
    <t xml:space="preserve">QC-048</t>
  </si>
  <si>
    <t xml:space="preserve">Mockup and app show different numbers</t>
  </si>
  <si>
    <t xml:space="preserve">Reconcile the two.</t>
  </si>
  <si>
    <t xml:space="preserve">QC-035</t>
  </si>
  <si>
    <t xml:space="preserve">Period label on every chart</t>
  </si>
  <si>
    <t xml:space="preserve">Not built</t>
  </si>
  <si>
    <t xml:space="preserve">D</t>
  </si>
  <si>
    <t xml:space="preserve">Add a period/as_of field to the payload and render it in the titles.</t>
  </si>
  <si>
    <t xml:space="preserve">QC-051</t>
  </si>
  <si>
    <t xml:space="preserve">Save / load / compare scenarios</t>
  </si>
  <si>
    <t xml:space="preserve">Needs a new table + UI.</t>
  </si>
  <si>
    <t xml:space="preserve">QC-052</t>
  </si>
  <si>
    <t xml:space="preserve">Simulator presets</t>
  </si>
  <si>
    <t xml:space="preserve">3–4 named presets per agent.</t>
  </si>
  <si>
    <t xml:space="preserve">QC-053</t>
  </si>
  <si>
    <t xml:space="preserve">Scope selector</t>
  </si>
  <si>
    <t xml:space="preserve">Pattern already exists in Finance (scope_options); replicate to the 3 other agents.</t>
  </si>
  <si>
    <t xml:space="preserve">QC-054</t>
  </si>
  <si>
    <t xml:space="preserve">KPI sparkline</t>
  </si>
  <si>
    <t xml:space="preserve">KpiSparkline component exists; Finance, Leakage and Collection still need to emit trend.</t>
  </si>
  <si>
    <t xml:space="preserve">QC-055</t>
  </si>
  <si>
    <t xml:space="preserve">Action confidence level</t>
  </si>
  <si>
    <t xml:space="preserve">confidence_label column exists in the DB; expose it in service/router/UI.</t>
  </si>
  <si>
    <t xml:space="preserve">QC-056</t>
  </si>
  <si>
    <t xml:space="preserve">Execution-chain animation</t>
  </si>
  <si>
    <t xml:space="preserve">RouteRenderer already renders routes; add the staged execution trace.</t>
  </si>
  <si>
    <t xml:space="preserve">QC-057</t>
  </si>
  <si>
    <t xml:space="preserve">Agent activity feed</t>
  </si>
  <si>
    <t xml:space="preserve">New endpoint + panel, separate from alerts (the bell currently shows alerts, not activity).</t>
  </si>
  <si>
    <t xml:space="preserve">QC-061</t>
  </si>
  <si>
    <t xml:space="preserve">Next-best-action cards on the dashboard</t>
  </si>
  <si>
    <t xml:space="preserve">Action data exists; render it in Workboard.</t>
  </si>
  <si>
    <t xml:space="preserve">MT-010</t>
  </si>
  <si>
    <t xml:space="preserve">DSO lands at 53.5 (should reset clean to 57.36)</t>
  </si>
  <si>
    <t xml:space="preserve">E</t>
  </si>
  <si>
    <t xml:space="preserve">Reset logic.</t>
  </si>
  <si>
    <t xml:space="preserve">MT-014</t>
  </si>
  <si>
    <t xml:space="preserve">Approve cannot be undone</t>
  </si>
  <si>
    <t xml:space="preserve">Add an undo.</t>
  </si>
  <si>
    <t xml:space="preserve">MT-015</t>
  </si>
  <si>
    <t xml:space="preserve">Agent Action missing from Action History; simulation_summary null</t>
  </si>
  <si>
    <t xml:space="preserve">Persist the action and its summary.</t>
  </si>
  <si>
    <t xml:space="preserve">MT-023</t>
  </si>
  <si>
    <t xml:space="preserve">Response is slow (&gt;8 seconds)</t>
  </si>
  <si>
    <t xml:space="preserve">Performance work.</t>
  </si>
  <si>
    <t xml:space="preserve">MT-025</t>
  </si>
  <si>
    <t xml:space="preserve">Export/download feature missing</t>
  </si>
  <si>
    <t xml:space="preserve">Add export.</t>
  </si>
  <si>
    <t xml:space="preserve">QC-002</t>
  </si>
  <si>
    <t xml:space="preserve">Four agents sit on unrelated batches (19 / 17 / 11 / 2)</t>
  </si>
  <si>
    <t xml:space="preserve">Root cause of almost every number problem. Needs a single ledger + re-seed + repointing all 4 agents.</t>
  </si>
  <si>
    <t xml:space="preserve">QC-003</t>
  </si>
  <si>
    <t xml:space="preserve">Collection revenue base is 15× Finance</t>
  </si>
  <si>
    <t xml:space="preserve">Derivative of QC-002 — cannot be fixed on its own.</t>
  </si>
  <si>
    <t xml:space="preserve">QC-044</t>
  </si>
  <si>
    <t xml:space="preserve">Data volume far below what was requested</t>
  </si>
  <si>
    <t xml:space="preserve">Needs new dimensions (legal_entity, store, item, category) that are not in the schema at all. Migration + ETL of 25,588 sales / 2,016 AR / 630 AP rows.</t>
  </si>
  <si>
    <t xml:space="preserve">QC-043</t>
  </si>
  <si>
    <t xml:space="preserve">22 filters missing</t>
  </si>
  <si>
    <t xml:space="preserve">Fully depends on QC-044; touches every endpoint and every UI component.</t>
  </si>
  <si>
    <t xml:space="preserve">QC-047</t>
  </si>
  <si>
    <t xml:space="preserve">Treasury levers not wired to the Collection ledger</t>
  </si>
  <si>
    <t xml:space="preserve">Needs a shared cross-agent simulation model. This is the key demo differentiator — keep it a priority.</t>
  </si>
  <si>
    <t xml:space="preserve">QC-022</t>
  </si>
  <si>
    <t xml:space="preserve">Action impacts stack with no double-count guard</t>
  </si>
  <si>
    <t xml:space="preserve">Needs portfolio netting — a new mathematical model.</t>
  </si>
  <si>
    <t xml:space="preserve">QC-010</t>
  </si>
  <si>
    <t xml:space="preserve">Price variance ~10× smaller than claimed</t>
  </si>
  <si>
    <t xml:space="preserve">Reconcile to the base model; unclear which figure is correct.</t>
  </si>
  <si>
    <t xml:space="preserve">QC-037</t>
  </si>
  <si>
    <t xml:space="preserve">Cash chart cannot explain why W5 is low</t>
  </si>
  <si>
    <t xml:space="preserve">Deferred</t>
  </si>
  <si>
    <t xml:space="preserve">Needs 288 cash-line rows (only a balance series exists). Depends on the replacement dataset.</t>
  </si>
  <si>
    <t xml:space="preserve">QC-058</t>
  </si>
  <si>
    <t xml:space="preserve">Indonesian language switcher</t>
  </si>
  <si>
    <t xml:space="preserve">Full i18n: UI strings + payload + LLM output. The prompt currently locks "responses in English only".</t>
  </si>
  <si>
    <t xml:space="preserve">QC-060</t>
  </si>
  <si>
    <t xml:space="preserve">Compute with the CFO's own parameters</t>
  </si>
  <si>
    <t xml:space="preserve">Needs a chat↔simulator bridge plus a calculation-step viewer.</t>
  </si>
  <si>
    <t xml:space="preserve">QC-062</t>
  </si>
  <si>
    <t xml:space="preserve">Chat renders charts + tables</t>
  </si>
  <si>
    <t xml:space="preserve">html_renderer.py emits chart+table, rendered by BlockRenderer.jsx → ChartRenderer.jsx.</t>
  </si>
  <si>
    <t xml:space="preserve">Guided story mode</t>
  </si>
  <si>
    <t xml:space="preserve">Closed</t>
  </si>
  <si>
    <t xml:space="preserve">Closed as "Not a defect" — not worked on.</t>
  </si>
  <si>
    <t xml:space="preserve">QC-045</t>
  </si>
  <si>
    <t xml:space="preserve">Interactive behaviour untested</t>
  </si>
  <si>
    <t xml:space="preserve">Not an application defect; already executed via sheet 02B.</t>
  </si>
  <si>
    <t xml:space="preserve">Feature status detail — what already exists vs what is missing</t>
  </si>
  <si>
    <t xml:space="preserve">Already exists — verify only (no coding)</t>
  </si>
  <si>
    <t xml:space="preserve">Feature</t>
  </si>
  <si>
    <t xml:space="preserve">Evidence in code</t>
  </si>
  <si>
    <t xml:space="preserve">infoRegistry.js (415 lines, 1:1 port of mockup v9.4) + InfoCard.jsx + openInfo() in Workboard.jsx</t>
  </si>
  <si>
    <t xml:space="preserve">Chat shows charts + tables</t>
  </si>
  <si>
    <t xml:space="preserve">html_renderer.py emits chart+table → BlockRenderer.jsx → ChartRenderer.jsx</t>
  </si>
  <si>
    <t xml:space="preserve">Closed as "Not a defect"</t>
  </si>
  <si>
    <t xml:space="preserve">Not an app defect; executed via sheet 02B</t>
  </si>
  <si>
    <t xml:space="preserve">Partially exists — foundation done, finish it</t>
  </si>
  <si>
    <t xml:space="preserve">What already exists</t>
  </si>
  <si>
    <t xml:space="preserve">What is still missing</t>
  </si>
  <si>
    <t xml:space="preserve">KpiSparkline component + Treasury emits trend</t>
  </si>
  <si>
    <t xml:space="preserve">Finance, Leakage and Collection do not emit trend yet</t>
  </si>
  <si>
    <t xml:space="preserve">Finance has scope_options ["all","fx"] + scope state</t>
  </si>
  <si>
    <t xml:space="preserve">The 3 other agents have no scope_options</t>
  </si>
  <si>
    <t xml:space="preserve">confidence_label column exists in the DB</t>
  </si>
  <si>
    <t xml:space="preserve">Not exposed in actions/service.py, router.py or the UI</t>
  </si>
  <si>
    <t xml:space="preserve">RouteRenderer.jsx renders the route list</t>
  </si>
  <si>
    <t xml:space="preserve">Static — no animation / staged execution trace</t>
  </si>
  <si>
    <t xml:space="preserve">Slider reset works (MT-008 passed)</t>
  </si>
  <si>
    <t xml:space="preserve">No single-click global reset (view + simulator + chat)</t>
  </si>
  <si>
    <t xml:space="preserve">Note</t>
  </si>
  <si>
    <t xml:space="preserve">Filters (22 of them)</t>
  </si>
  <si>
    <t xml:space="preserve">No filter parameter anywhere in any endpoint</t>
  </si>
  <si>
    <t xml:space="preserve">Dataset volume</t>
  </si>
  <si>
    <t xml:space="preserve">No legal_entity / store / item / category table or column in models.py</t>
  </si>
  <si>
    <t xml:space="preserve">Period label on charts</t>
  </si>
  <si>
    <t xml:space="preserve">No period / as_of field in any dashboard payload</t>
  </si>
  <si>
    <t xml:space="preserve">Only 4 recalculate endpoints, no persistence</t>
  </si>
  <si>
    <t xml:space="preserve">Simulator payload is only inputs + baseline</t>
  </si>
  <si>
    <t xml:space="preserve">The bell shows alerts (findings), not agent activity</t>
  </si>
  <si>
    <t xml:space="preserve">No i18n; prompt locks "responses in English only"</t>
  </si>
  <si>
    <t xml:space="preserve">Compute with your own parameters</t>
  </si>
  <si>
    <t xml:space="preserve">Chat and recalculate are not connected</t>
  </si>
  <si>
    <t xml:space="preserve">Next-best-action cards on dashboard</t>
  </si>
  <si>
    <t xml:space="preserve">Workboard renders no actions at all</t>
  </si>
  <si>
    <t xml:space="preserve">Code exists but is still wrong</t>
  </si>
  <si>
    <t xml:space="preserve">Problem</t>
  </si>
  <si>
    <t xml:space="preserve">Location</t>
  </si>
  <si>
    <t xml:space="preserve">"illustrative" still scattered</t>
  </si>
  <si>
    <t xml:space="preserve">finance/leakage/treasury dashboard files</t>
  </si>
  <si>
    <t xml:space="preserve">Agent key clashes</t>
  </si>
  <si>
    <t xml:space="preserve">registry finance.collection vs payload "collections"</t>
  </si>
  <si>
    <t xml:space="preserve">QC-015 / 032</t>
  </si>
  <si>
    <t xml:space="preserve">Leakage baseline hardcoded</t>
  </si>
  <si>
    <t xml:space="preserve">overbill_amount=400, other_blocked=500, at_risk=7845</t>
  </si>
  <si>
    <t xml:space="preserve">/conversations returns all history unfiltered</t>
  </si>
  <si>
    <t xml:space="preserve">finance_agents_html.py:414</t>
  </si>
  <si>
    <t xml:space="preserve">Recommended work order — by impact / effort, not by QC number</t>
  </si>
  <si>
    <t xml:space="preserve">Timing</t>
  </si>
  <si>
    <t xml:space="preserve">What to do</t>
  </si>
  <si>
    <t xml:space="preserve">Why / gate closed</t>
  </si>
  <si>
    <t xml:space="preserve">Phase 0</t>
  </si>
  <si>
    <t xml:space="preserve">~1 day</t>
  </si>
  <si>
    <t xml:space="preserve">1) Deploy the latest build to Azure and re-run sheet 02B; strike findings that are already resolved.  2) Chase Dataset_AI_Finance_Forum_v1.xlsx.</t>
  </si>
  <si>
    <t xml:space="preserve">Some findings drop for free. Without the dataset the Hard cluster cannot begin.</t>
  </si>
  <si>
    <t xml:space="preserve">Phase 1</t>
  </si>
  <si>
    <t xml:space="preserve">The whole Easy cluster (24 items). MT-018 (Decimal JSON crash) FIRST.</t>
  </si>
  <si>
    <t xml:space="preserve">Closes gates #4, #5 and part of #6, #7 on sheet 06B.</t>
  </si>
  <si>
    <t xml:space="preserve">Phase 2</t>
  </si>
  <si>
    <t xml:space="preserve">~1 week</t>
  </si>
  <si>
    <t xml:space="preserve">Group A (impact text computed, not typed) + Group B (one number, one meaning).</t>
  </si>
  <si>
    <t xml:space="preserve">Closes gate #3 and gate #6 — the ones a CFO is most likely to catch on stage, at a fraction of the Hard-cluster cost.</t>
  </si>
  <si>
    <t xml:space="preserve">Phase 3</t>
  </si>
  <si>
    <t xml:space="preserve">3–4 weeks</t>
  </si>
  <si>
    <t xml:space="preserve">QC-044 → QC-002 → QC-003 → QC-001 → QC-043, strictly in that order.</t>
  </si>
  <si>
    <t xml:space="preserve">A mandatory dependency chain — reversing the order means doing the work twice.</t>
  </si>
  <si>
    <t xml:space="preserve">Phase 4</t>
  </si>
  <si>
    <t xml:space="preserve">after Phase 3</t>
  </si>
  <si>
    <t xml:space="preserve">Remaining Group D features, then QC-047 and QC-022 (plus the rest of Group C/E and QC-010).</t>
  </si>
  <si>
    <t xml:space="preserve">QC-047 (cross-agent simulation) is the demo's real differentiator — keep it a priority.</t>
  </si>
  <si>
    <t xml:space="preserve">after the demo</t>
  </si>
  <si>
    <t xml:space="preserve">QC-058 (i18n), QC-060 (own-parameter compute), QC-037.</t>
  </si>
  <si>
    <t xml:space="preserve">Expensive and do not block the 4-minute demo story.</t>
  </si>
</sst>
</file>

<file path=xl/styles.xml><?xml version="1.0" encoding="utf-8"?>
<styleSheet xmlns="http://schemas.openxmlformats.org/spreadsheetml/2006/main">
  <numFmts count="2">
    <numFmt numFmtId="164" formatCode="General"/>
    <numFmt numFmtId="165" formatCode="General"/>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444444"/>
      <name val="Arial"/>
      <family val="0"/>
      <charset val="1"/>
    </font>
    <font>
      <b val="true"/>
      <sz val="12"/>
      <color rgb="FFFFFFFF"/>
      <name val="Arial"/>
      <family val="0"/>
      <charset val="1"/>
    </font>
    <font>
      <b val="true"/>
      <sz val="10"/>
      <color rgb="FFFFFFFF"/>
      <name val="Arial"/>
      <family val="0"/>
      <charset val="1"/>
    </font>
    <font>
      <b val="true"/>
      <sz val="10"/>
      <color rgb="FF1E6B33"/>
      <name val="Arial"/>
      <family val="0"/>
      <charset val="1"/>
    </font>
    <font>
      <b val="true"/>
      <sz val="10"/>
      <color rgb="FF000000"/>
      <name val="Arial"/>
      <family val="0"/>
      <charset val="1"/>
    </font>
    <font>
      <sz val="9"/>
      <color rgb="FF000000"/>
      <name val="Arial"/>
      <family val="0"/>
      <charset val="1"/>
    </font>
    <font>
      <b val="true"/>
      <sz val="10"/>
      <color rgb="FF8A6D00"/>
      <name val="Arial"/>
      <family val="0"/>
      <charset val="1"/>
    </font>
    <font>
      <b val="true"/>
      <sz val="10"/>
      <color rgb="FF9C0006"/>
      <name val="Arial"/>
      <family val="0"/>
      <charset val="1"/>
    </font>
    <font>
      <b val="true"/>
      <sz val="10"/>
      <color rgb="FF404040"/>
      <name val="Arial"/>
      <family val="0"/>
      <charset val="1"/>
    </font>
    <font>
      <i val="true"/>
      <sz val="8"/>
      <color rgb="FF000000"/>
      <name val="Arial"/>
      <family val="0"/>
      <charset val="1"/>
    </font>
    <font>
      <b val="true"/>
      <sz val="9"/>
      <color rgb="FF000000"/>
      <name val="Arial"/>
      <family val="0"/>
      <charset val="1"/>
    </font>
    <font>
      <sz val="10"/>
      <color rgb="FF000000"/>
      <name val="Arial"/>
      <family val="0"/>
      <charset val="1"/>
    </font>
    <font>
      <b val="true"/>
      <sz val="14"/>
      <color rgb="FFFFFFFF"/>
      <name val="Arial"/>
      <family val="0"/>
      <charset val="1"/>
    </font>
    <font>
      <i val="true"/>
      <sz val="9"/>
      <color rgb="FF444444"/>
      <name val="Arial"/>
      <family val="0"/>
      <charset val="1"/>
    </font>
    <font>
      <b val="true"/>
      <sz val="13"/>
      <color rgb="FFFFFFFF"/>
      <name val="Arial"/>
      <family val="0"/>
      <charset val="1"/>
    </font>
    <font>
      <b val="true"/>
      <sz val="11"/>
      <color rgb="FFFFFFFF"/>
      <name val="Arial"/>
      <family val="0"/>
      <charset val="1"/>
    </font>
  </fonts>
  <fills count="13">
    <fill>
      <patternFill patternType="none"/>
    </fill>
    <fill>
      <patternFill patternType="gray125"/>
    </fill>
    <fill>
      <patternFill patternType="solid">
        <fgColor rgb="FF1F3864"/>
        <bgColor rgb="FF404040"/>
      </patternFill>
    </fill>
    <fill>
      <patternFill patternType="solid">
        <fgColor rgb="FF2F5496"/>
        <bgColor rgb="FF1F3864"/>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D9D9D9"/>
        <bgColor rgb="FFC6EFCE"/>
      </patternFill>
    </fill>
    <fill>
      <patternFill patternType="solid">
        <fgColor rgb="FFF2F2F2"/>
        <bgColor rgb="FFFFFFFF"/>
      </patternFill>
    </fill>
    <fill>
      <patternFill patternType="solid">
        <fgColor rgb="FFFFFFFF"/>
        <bgColor rgb="FFF2F2F2"/>
      </patternFill>
    </fill>
    <fill>
      <patternFill patternType="solid">
        <fgColor rgb="FF1E6B33"/>
        <bgColor rgb="FF008080"/>
      </patternFill>
    </fill>
    <fill>
      <patternFill patternType="solid">
        <fgColor rgb="FF8A6D00"/>
        <bgColor rgb="FF808080"/>
      </patternFill>
    </fill>
    <fill>
      <patternFill patternType="solid">
        <fgColor rgb="FF9C0006"/>
        <bgColor rgb="FF8000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16" fillId="8" borderId="2" xfId="0" applyFont="true" applyBorder="true" applyAlignment="true" applyProtection="false">
      <alignment horizontal="left" vertical="top" textRotation="0" wrapText="true" indent="0" shrinkToFit="false"/>
      <protection locked="true" hidden="false"/>
    </xf>
    <xf numFmtId="164" fontId="17" fillId="2" borderId="0" xfId="0" applyFont="true" applyBorder="true" applyAlignment="true" applyProtection="false">
      <alignment horizontal="left" vertical="center" textRotation="0" wrapText="true" indent="0" shrinkToFit="false"/>
      <protection locked="true" hidden="false"/>
    </xf>
    <xf numFmtId="164" fontId="18" fillId="8"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center" vertical="top" textRotation="0" wrapText="true" indent="0" shrinkToFit="false"/>
      <protection locked="true" hidden="false"/>
    </xf>
    <xf numFmtId="164" fontId="16" fillId="9" borderId="1" xfId="0" applyFont="true" applyBorder="true" applyAlignment="true" applyProtection="false">
      <alignment horizontal="center" vertical="top" textRotation="0" wrapText="tru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10" fillId="8" borderId="1" xfId="0" applyFont="true" applyBorder="true" applyAlignment="true" applyProtection="false">
      <alignment horizontal="center" vertical="top" textRotation="0" wrapText="true" indent="0" shrinkToFit="false"/>
      <protection locked="true" hidden="false"/>
    </xf>
    <xf numFmtId="164" fontId="16" fillId="8" borderId="1" xfId="0" applyFont="true" applyBorder="true" applyAlignment="true" applyProtection="false">
      <alignment horizontal="center" vertical="top" textRotation="0" wrapText="tru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true" indent="0" shrinkToFit="false"/>
      <protection locked="true" hidden="false"/>
    </xf>
    <xf numFmtId="164" fontId="20" fillId="10" borderId="2"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20" fillId="11" borderId="2" xfId="0" applyFont="true" applyBorder="true" applyAlignment="true" applyProtection="false">
      <alignment horizontal="left" vertical="center" textRotation="0" wrapText="true" indent="0" shrinkToFit="false"/>
      <protection locked="true" hidden="false"/>
    </xf>
    <xf numFmtId="164" fontId="20" fillId="12" borderId="2"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2F5496"/>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1E6B33"/>
          <bgColor rgb="FF000000"/>
        </patternFill>
      </fill>
    </dxf>
    <dxf>
      <fill>
        <patternFill patternType="solid">
          <fgColor rgb="FF404040"/>
          <bgColor rgb="FF000000"/>
        </patternFill>
      </fill>
    </dxf>
    <dxf>
      <fill>
        <patternFill patternType="solid">
          <fgColor rgb="FF8A6D00"/>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1E6B33"/>
      <rgbColor rgb="FF000080"/>
      <rgbColor rgb="FF8A6D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444444"/>
      <rgbColor rgb="FF993300"/>
      <rgbColor rgb="FF993366"/>
      <rgbColor rgb="FF2F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4"/>
    <col collapsed="false" customWidth="true" hidden="false" outlineLevel="0" max="4" min="4" style="0" width="26"/>
    <col collapsed="false" customWidth="true" hidden="false" outlineLevel="0" max="5" min="5" style="0" width="4"/>
  </cols>
  <sheetData>
    <row r="1" customFormat="false" ht="30" hidden="false" customHeight="true" outlineLevel="0" collapsed="false">
      <c r="B1" s="1" t="s">
        <v>0</v>
      </c>
      <c r="C1" s="1"/>
      <c r="D1" s="1"/>
    </row>
    <row r="2" customFormat="false" ht="15" hidden="false" customHeight="true" outlineLevel="0" collapsed="false">
      <c r="B2" s="2" t="s">
        <v>1</v>
      </c>
      <c r="C2" s="2"/>
      <c r="D2" s="2"/>
    </row>
    <row r="4" customFormat="false" ht="21.75" hidden="false" customHeight="true" outlineLevel="0" collapsed="false">
      <c r="B4" s="3" t="s">
        <v>2</v>
      </c>
      <c r="C4" s="3"/>
      <c r="D4" s="3"/>
    </row>
    <row r="5" customFormat="false" ht="15" hidden="false" customHeight="false" outlineLevel="0" collapsed="false">
      <c r="B5" s="4" t="s">
        <v>3</v>
      </c>
      <c r="C5" s="4" t="s">
        <v>4</v>
      </c>
      <c r="D5" s="4" t="s">
        <v>5</v>
      </c>
    </row>
    <row r="6" customFormat="false" ht="15" hidden="false" customHeight="false" outlineLevel="0" collapsed="false">
      <c r="B6" s="5" t="s">
        <v>6</v>
      </c>
      <c r="C6" s="6" t="n">
        <f aca="false">COUNTIF('Triage Detail'!D:D,"Easy")</f>
        <v>24</v>
      </c>
      <c r="D6" s="7" t="s">
        <v>7</v>
      </c>
    </row>
    <row r="7" customFormat="false" ht="15" hidden="false" customHeight="false" outlineLevel="0" collapsed="false">
      <c r="B7" s="8" t="s">
        <v>8</v>
      </c>
      <c r="C7" s="6" t="n">
        <f aca="false">COUNTIF('Triage Detail'!D:D,"Medium")</f>
        <v>31</v>
      </c>
      <c r="D7" s="7" t="s">
        <v>9</v>
      </c>
    </row>
    <row r="8" customFormat="false" ht="15" hidden="false" customHeight="false" outlineLevel="0" collapsed="false">
      <c r="B8" s="9" t="s">
        <v>10</v>
      </c>
      <c r="C8" s="6" t="n">
        <f aca="false">COUNTIF('Triage Detail'!D:D,"Hard")</f>
        <v>10</v>
      </c>
      <c r="D8" s="7" t="s">
        <v>11</v>
      </c>
    </row>
    <row r="9" customFormat="false" ht="15" hidden="false" customHeight="false" outlineLevel="0" collapsed="false">
      <c r="B9" s="10" t="s">
        <v>12</v>
      </c>
      <c r="C9" s="6" t="n">
        <f aca="false">COUNTIF('Triage Detail'!D:D,"Done")</f>
        <v>3</v>
      </c>
      <c r="D9" s="7" t="s">
        <v>13</v>
      </c>
    </row>
    <row r="10" customFormat="false" ht="15" hidden="false" customHeight="false" outlineLevel="0" collapsed="false">
      <c r="B10" s="11" t="s">
        <v>14</v>
      </c>
      <c r="C10" s="11" t="n">
        <f aca="false">SUM(C6:C9)</f>
        <v>68</v>
      </c>
      <c r="D10" s="12" t="s">
        <v>15</v>
      </c>
    </row>
    <row r="12" customFormat="false" ht="21.75" hidden="false" customHeight="true" outlineLevel="0" collapsed="false">
      <c r="B12" s="3" t="s">
        <v>16</v>
      </c>
      <c r="C12" s="3"/>
      <c r="D12" s="3"/>
    </row>
    <row r="13" customFormat="false" ht="15" hidden="false" customHeight="true" outlineLevel="0" collapsed="false">
      <c r="B13" s="4" t="s">
        <v>17</v>
      </c>
      <c r="C13" s="4" t="s">
        <v>18</v>
      </c>
      <c r="D13" s="4"/>
    </row>
    <row r="14" customFormat="false" ht="15" hidden="false" customHeight="true" outlineLevel="0" collapsed="false">
      <c r="B14" s="13" t="s">
        <v>19</v>
      </c>
      <c r="C14" s="14" t="s">
        <v>20</v>
      </c>
      <c r="D14" s="14"/>
    </row>
    <row r="15" customFormat="false" ht="15" hidden="false" customHeight="true" outlineLevel="0" collapsed="false">
      <c r="B15" s="13" t="s">
        <v>21</v>
      </c>
      <c r="C15" s="14" t="s">
        <v>22</v>
      </c>
      <c r="D15" s="14"/>
    </row>
    <row r="16" customFormat="false" ht="15" hidden="false" customHeight="true" outlineLevel="0" collapsed="false">
      <c r="B16" s="13" t="s">
        <v>23</v>
      </c>
      <c r="C16" s="14" t="s">
        <v>24</v>
      </c>
      <c r="D16" s="14"/>
    </row>
    <row r="17" customFormat="false" ht="22.35" hidden="false" customHeight="true" outlineLevel="0" collapsed="false">
      <c r="B17" s="13" t="s">
        <v>25</v>
      </c>
      <c r="C17" s="14" t="s">
        <v>26</v>
      </c>
      <c r="D17" s="14"/>
    </row>
    <row r="18" customFormat="false" ht="15" hidden="false" customHeight="true" outlineLevel="0" collapsed="false">
      <c r="B18" s="13" t="s">
        <v>27</v>
      </c>
      <c r="C18" s="14" t="s">
        <v>28</v>
      </c>
      <c r="D18" s="14"/>
    </row>
    <row r="20" customFormat="false" ht="21.75" hidden="false" customHeight="true" outlineLevel="0" collapsed="false">
      <c r="B20" s="3" t="s">
        <v>29</v>
      </c>
      <c r="C20" s="3"/>
      <c r="D20" s="3"/>
    </row>
    <row r="21" customFormat="false" ht="15" hidden="false" customHeight="false" outlineLevel="0" collapsed="false">
      <c r="B21" s="4" t="s">
        <v>30</v>
      </c>
      <c r="C21" s="4" t="s">
        <v>31</v>
      </c>
      <c r="D21" s="4" t="s">
        <v>32</v>
      </c>
    </row>
    <row r="22" customFormat="false" ht="22.35" hidden="false" customHeight="false" outlineLevel="0" collapsed="false">
      <c r="B22" s="6" t="s">
        <v>33</v>
      </c>
      <c r="C22" s="7" t="s">
        <v>34</v>
      </c>
      <c r="D22" s="14" t="s">
        <v>35</v>
      </c>
    </row>
    <row r="23" customFormat="false" ht="22.35" hidden="false" customHeight="false" outlineLevel="0" collapsed="false">
      <c r="B23" s="6" t="s">
        <v>36</v>
      </c>
      <c r="C23" s="7" t="s">
        <v>37</v>
      </c>
      <c r="D23" s="14" t="s">
        <v>38</v>
      </c>
    </row>
    <row r="24" customFormat="false" ht="15" hidden="false" customHeight="false" outlineLevel="0" collapsed="false">
      <c r="B24" s="6" t="s">
        <v>39</v>
      </c>
      <c r="C24" s="7" t="s">
        <v>40</v>
      </c>
      <c r="D24" s="14" t="s">
        <v>41</v>
      </c>
    </row>
    <row r="25" customFormat="false" ht="22.35" hidden="false" customHeight="false" outlineLevel="0" collapsed="false">
      <c r="B25" s="6" t="s">
        <v>42</v>
      </c>
      <c r="C25" s="7" t="s">
        <v>43</v>
      </c>
      <c r="D25" s="14" t="s">
        <v>44</v>
      </c>
    </row>
    <row r="26" customFormat="false" ht="15" hidden="false" customHeight="true" outlineLevel="0" collapsed="false">
      <c r="B26" s="15" t="s">
        <v>45</v>
      </c>
      <c r="C26" s="15"/>
      <c r="D26" s="15"/>
    </row>
    <row r="28" customFormat="false" ht="21.75" hidden="false" customHeight="true" outlineLevel="0" collapsed="false">
      <c r="B28" s="3" t="s">
        <v>46</v>
      </c>
      <c r="C28" s="3"/>
      <c r="D28" s="3"/>
    </row>
    <row r="29" customFormat="false" ht="42" hidden="false" customHeight="true" outlineLevel="0" collapsed="false">
      <c r="B29" s="16" t="s">
        <v>47</v>
      </c>
      <c r="C29" s="16"/>
      <c r="D29" s="16"/>
    </row>
    <row r="30" customFormat="false" ht="42" hidden="false" customHeight="true" outlineLevel="0" collapsed="false">
      <c r="B30" s="16" t="s">
        <v>48</v>
      </c>
      <c r="C30" s="16"/>
      <c r="D30" s="16"/>
    </row>
    <row r="32" customFormat="false" ht="21.75" hidden="false" customHeight="true" outlineLevel="0" collapsed="false">
      <c r="B32" s="3" t="s">
        <v>49</v>
      </c>
      <c r="C32" s="3"/>
      <c r="D32" s="3"/>
    </row>
    <row r="33" customFormat="false" ht="66" hidden="false" customHeight="true" outlineLevel="0" collapsed="false">
      <c r="B33" s="17" t="s">
        <v>50</v>
      </c>
      <c r="C33" s="17"/>
      <c r="D33" s="17"/>
    </row>
  </sheetData>
  <mergeCells count="17">
    <mergeCell ref="B1:D1"/>
    <mergeCell ref="B2:D2"/>
    <mergeCell ref="B4:D4"/>
    <mergeCell ref="B12:D12"/>
    <mergeCell ref="C13:D13"/>
    <mergeCell ref="C14:D14"/>
    <mergeCell ref="C15:D15"/>
    <mergeCell ref="C16:D16"/>
    <mergeCell ref="C17:D17"/>
    <mergeCell ref="C18:D18"/>
    <mergeCell ref="B20:D20"/>
    <mergeCell ref="B26:D26"/>
    <mergeCell ref="B28:D28"/>
    <mergeCell ref="B29:D29"/>
    <mergeCell ref="B30:D30"/>
    <mergeCell ref="B32:D32"/>
    <mergeCell ref="B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15"/>
    <col collapsed="false" customWidth="true" hidden="false" outlineLevel="0" max="4" min="4" style="0" width="11"/>
    <col collapsed="false" customWidth="true" hidden="false" outlineLevel="0" max="5" min="5" style="0" width="8"/>
    <col collapsed="false" customWidth="true" hidden="false" outlineLevel="0" max="6" min="6" style="0" width="9"/>
    <col collapsed="false" customWidth="true" hidden="false" outlineLevel="0" max="7" min="7" style="0" width="68"/>
  </cols>
  <sheetData>
    <row r="1" customFormat="false" ht="25.5" hidden="false" customHeight="true" outlineLevel="0" collapsed="false">
      <c r="A1" s="18" t="s">
        <v>51</v>
      </c>
      <c r="B1" s="18"/>
      <c r="C1" s="18"/>
      <c r="D1" s="18"/>
      <c r="E1" s="18"/>
      <c r="F1" s="18"/>
      <c r="G1" s="18"/>
    </row>
    <row r="2" customFormat="false" ht="30" hidden="false" customHeight="true" outlineLevel="0" collapsed="false">
      <c r="A2" s="19" t="s">
        <v>52</v>
      </c>
      <c r="B2" s="19"/>
      <c r="C2" s="19"/>
      <c r="D2" s="19"/>
      <c r="E2" s="19"/>
      <c r="F2" s="19"/>
      <c r="G2" s="19"/>
    </row>
    <row r="4" customFormat="false" ht="21.75" hidden="false" customHeight="true" outlineLevel="0" collapsed="false">
      <c r="A4" s="20" t="s">
        <v>53</v>
      </c>
      <c r="B4" s="20" t="s">
        <v>54</v>
      </c>
      <c r="C4" s="20" t="s">
        <v>55</v>
      </c>
      <c r="D4" s="20" t="s">
        <v>56</v>
      </c>
      <c r="E4" s="20" t="s">
        <v>57</v>
      </c>
      <c r="F4" s="20" t="s">
        <v>58</v>
      </c>
      <c r="G4" s="20" t="s">
        <v>59</v>
      </c>
    </row>
    <row r="5" customFormat="false" ht="23.85" hidden="false" customHeight="false" outlineLevel="0" collapsed="false">
      <c r="A5" s="21" t="s">
        <v>60</v>
      </c>
      <c r="B5" s="22" t="s">
        <v>61</v>
      </c>
      <c r="C5" s="23" t="s">
        <v>62</v>
      </c>
      <c r="D5" s="5" t="s">
        <v>6</v>
      </c>
      <c r="E5" s="24" t="s">
        <v>63</v>
      </c>
      <c r="F5" s="24" t="s">
        <v>64</v>
      </c>
      <c r="G5" s="25" t="s">
        <v>65</v>
      </c>
    </row>
    <row r="6" customFormat="false" ht="22.35" hidden="false" customHeight="false" outlineLevel="0" collapsed="false">
      <c r="A6" s="26" t="s">
        <v>66</v>
      </c>
      <c r="B6" s="27" t="s">
        <v>67</v>
      </c>
      <c r="C6" s="28" t="s">
        <v>62</v>
      </c>
      <c r="D6" s="5" t="s">
        <v>6</v>
      </c>
      <c r="E6" s="29" t="s">
        <v>63</v>
      </c>
      <c r="F6" s="29" t="s">
        <v>64</v>
      </c>
      <c r="G6" s="30" t="s">
        <v>68</v>
      </c>
    </row>
    <row r="7" customFormat="false" ht="23.85" hidden="false" customHeight="false" outlineLevel="0" collapsed="false">
      <c r="A7" s="21" t="s">
        <v>39</v>
      </c>
      <c r="B7" s="22" t="s">
        <v>69</v>
      </c>
      <c r="C7" s="23" t="s">
        <v>62</v>
      </c>
      <c r="D7" s="5" t="s">
        <v>6</v>
      </c>
      <c r="E7" s="24" t="s">
        <v>63</v>
      </c>
      <c r="F7" s="24" t="s">
        <v>64</v>
      </c>
      <c r="G7" s="25" t="s">
        <v>70</v>
      </c>
    </row>
    <row r="8" customFormat="false" ht="15" hidden="false" customHeight="false" outlineLevel="0" collapsed="false">
      <c r="A8" s="26" t="s">
        <v>71</v>
      </c>
      <c r="B8" s="27" t="s">
        <v>72</v>
      </c>
      <c r="C8" s="28" t="s">
        <v>73</v>
      </c>
      <c r="D8" s="5" t="s">
        <v>6</v>
      </c>
      <c r="E8" s="29" t="s">
        <v>63</v>
      </c>
      <c r="F8" s="29" t="s">
        <v>64</v>
      </c>
      <c r="G8" s="30" t="s">
        <v>74</v>
      </c>
    </row>
    <row r="9" customFormat="false" ht="15" hidden="false" customHeight="false" outlineLevel="0" collapsed="false">
      <c r="A9" s="21" t="s">
        <v>75</v>
      </c>
      <c r="B9" s="22" t="s">
        <v>76</v>
      </c>
      <c r="C9" s="23" t="s">
        <v>73</v>
      </c>
      <c r="D9" s="5" t="s">
        <v>6</v>
      </c>
      <c r="E9" s="24" t="s">
        <v>63</v>
      </c>
      <c r="F9" s="24" t="s">
        <v>64</v>
      </c>
      <c r="G9" s="25" t="s">
        <v>77</v>
      </c>
    </row>
    <row r="10" customFormat="false" ht="15" hidden="false" customHeight="false" outlineLevel="0" collapsed="false">
      <c r="A10" s="26" t="s">
        <v>78</v>
      </c>
      <c r="B10" s="27" t="s">
        <v>79</v>
      </c>
      <c r="C10" s="28" t="s">
        <v>73</v>
      </c>
      <c r="D10" s="5" t="s">
        <v>6</v>
      </c>
      <c r="E10" s="29" t="s">
        <v>63</v>
      </c>
      <c r="F10" s="29" t="s">
        <v>64</v>
      </c>
      <c r="G10" s="30" t="s">
        <v>80</v>
      </c>
    </row>
    <row r="11" customFormat="false" ht="15" hidden="false" customHeight="false" outlineLevel="0" collapsed="false">
      <c r="A11" s="21" t="s">
        <v>81</v>
      </c>
      <c r="B11" s="22" t="s">
        <v>82</v>
      </c>
      <c r="C11" s="23" t="s">
        <v>73</v>
      </c>
      <c r="D11" s="5" t="s">
        <v>6</v>
      </c>
      <c r="E11" s="24" t="s">
        <v>63</v>
      </c>
      <c r="F11" s="24" t="s">
        <v>64</v>
      </c>
      <c r="G11" s="25" t="s">
        <v>83</v>
      </c>
    </row>
    <row r="12" customFormat="false" ht="15" hidden="false" customHeight="false" outlineLevel="0" collapsed="false">
      <c r="A12" s="26" t="s">
        <v>84</v>
      </c>
      <c r="B12" s="27" t="s">
        <v>85</v>
      </c>
      <c r="C12" s="28" t="s">
        <v>73</v>
      </c>
      <c r="D12" s="5" t="s">
        <v>6</v>
      </c>
      <c r="E12" s="29" t="s">
        <v>63</v>
      </c>
      <c r="F12" s="29" t="s">
        <v>64</v>
      </c>
      <c r="G12" s="30" t="s">
        <v>86</v>
      </c>
    </row>
    <row r="13" customFormat="false" ht="15" hidden="false" customHeight="false" outlineLevel="0" collapsed="false">
      <c r="A13" s="21" t="s">
        <v>87</v>
      </c>
      <c r="B13" s="22" t="s">
        <v>88</v>
      </c>
      <c r="C13" s="23" t="s">
        <v>73</v>
      </c>
      <c r="D13" s="5" t="s">
        <v>6</v>
      </c>
      <c r="E13" s="24" t="s">
        <v>63</v>
      </c>
      <c r="F13" s="24" t="s">
        <v>64</v>
      </c>
      <c r="G13" s="25" t="s">
        <v>89</v>
      </c>
    </row>
    <row r="14" customFormat="false" ht="15" hidden="false" customHeight="false" outlineLevel="0" collapsed="false">
      <c r="A14" s="26" t="s">
        <v>90</v>
      </c>
      <c r="B14" s="27" t="s">
        <v>91</v>
      </c>
      <c r="C14" s="28" t="s">
        <v>73</v>
      </c>
      <c r="D14" s="5" t="s">
        <v>6</v>
      </c>
      <c r="E14" s="29" t="s">
        <v>63</v>
      </c>
      <c r="F14" s="29" t="s">
        <v>64</v>
      </c>
      <c r="G14" s="30" t="s">
        <v>86</v>
      </c>
    </row>
    <row r="15" customFormat="false" ht="15" hidden="false" customHeight="false" outlineLevel="0" collapsed="false">
      <c r="A15" s="21" t="s">
        <v>92</v>
      </c>
      <c r="B15" s="22" t="s">
        <v>93</v>
      </c>
      <c r="C15" s="23" t="s">
        <v>73</v>
      </c>
      <c r="D15" s="5" t="s">
        <v>6</v>
      </c>
      <c r="E15" s="24" t="s">
        <v>63</v>
      </c>
      <c r="F15" s="24" t="s">
        <v>64</v>
      </c>
      <c r="G15" s="25" t="s">
        <v>94</v>
      </c>
    </row>
    <row r="16" customFormat="false" ht="15" hidden="false" customHeight="false" outlineLevel="0" collapsed="false">
      <c r="A16" s="26" t="s">
        <v>95</v>
      </c>
      <c r="B16" s="27" t="s">
        <v>96</v>
      </c>
      <c r="C16" s="28" t="s">
        <v>62</v>
      </c>
      <c r="D16" s="5" t="s">
        <v>6</v>
      </c>
      <c r="E16" s="29" t="s">
        <v>63</v>
      </c>
      <c r="F16" s="29" t="s">
        <v>64</v>
      </c>
      <c r="G16" s="30" t="s">
        <v>97</v>
      </c>
    </row>
    <row r="17" customFormat="false" ht="15" hidden="false" customHeight="false" outlineLevel="0" collapsed="false">
      <c r="A17" s="21" t="s">
        <v>98</v>
      </c>
      <c r="B17" s="22" t="s">
        <v>99</v>
      </c>
      <c r="C17" s="23" t="s">
        <v>73</v>
      </c>
      <c r="D17" s="5" t="s">
        <v>6</v>
      </c>
      <c r="E17" s="24" t="s">
        <v>63</v>
      </c>
      <c r="F17" s="24" t="s">
        <v>64</v>
      </c>
      <c r="G17" s="25" t="s">
        <v>100</v>
      </c>
    </row>
    <row r="18" customFormat="false" ht="15" hidden="false" customHeight="false" outlineLevel="0" collapsed="false">
      <c r="A18" s="26" t="s">
        <v>101</v>
      </c>
      <c r="B18" s="27" t="s">
        <v>102</v>
      </c>
      <c r="C18" s="28" t="s">
        <v>73</v>
      </c>
      <c r="D18" s="5" t="s">
        <v>6</v>
      </c>
      <c r="E18" s="29" t="s">
        <v>63</v>
      </c>
      <c r="F18" s="29" t="s">
        <v>64</v>
      </c>
      <c r="G18" s="30" t="s">
        <v>103</v>
      </c>
    </row>
    <row r="19" customFormat="false" ht="15" hidden="false" customHeight="false" outlineLevel="0" collapsed="false">
      <c r="A19" s="21" t="s">
        <v>104</v>
      </c>
      <c r="B19" s="22" t="s">
        <v>105</v>
      </c>
      <c r="C19" s="23" t="s">
        <v>73</v>
      </c>
      <c r="D19" s="5" t="s">
        <v>6</v>
      </c>
      <c r="E19" s="24" t="s">
        <v>63</v>
      </c>
      <c r="F19" s="24" t="s">
        <v>64</v>
      </c>
      <c r="G19" s="25" t="s">
        <v>106</v>
      </c>
    </row>
    <row r="20" customFormat="false" ht="15" hidden="false" customHeight="false" outlineLevel="0" collapsed="false">
      <c r="A20" s="26" t="s">
        <v>107</v>
      </c>
      <c r="B20" s="27" t="s">
        <v>108</v>
      </c>
      <c r="C20" s="28" t="s">
        <v>73</v>
      </c>
      <c r="D20" s="5" t="s">
        <v>6</v>
      </c>
      <c r="E20" s="29" t="s">
        <v>63</v>
      </c>
      <c r="F20" s="29" t="s">
        <v>64</v>
      </c>
      <c r="G20" s="30" t="s">
        <v>109</v>
      </c>
    </row>
    <row r="21" customFormat="false" ht="15" hidden="false" customHeight="false" outlineLevel="0" collapsed="false">
      <c r="A21" s="21" t="s">
        <v>110</v>
      </c>
      <c r="B21" s="22" t="s">
        <v>111</v>
      </c>
      <c r="C21" s="23" t="s">
        <v>73</v>
      </c>
      <c r="D21" s="5" t="s">
        <v>6</v>
      </c>
      <c r="E21" s="24" t="s">
        <v>63</v>
      </c>
      <c r="F21" s="24" t="s">
        <v>64</v>
      </c>
      <c r="G21" s="25" t="s">
        <v>112</v>
      </c>
    </row>
    <row r="22" customFormat="false" ht="15" hidden="false" customHeight="false" outlineLevel="0" collapsed="false">
      <c r="A22" s="26" t="s">
        <v>113</v>
      </c>
      <c r="B22" s="27" t="s">
        <v>114</v>
      </c>
      <c r="C22" s="28" t="s">
        <v>73</v>
      </c>
      <c r="D22" s="5" t="s">
        <v>6</v>
      </c>
      <c r="E22" s="29" t="s">
        <v>63</v>
      </c>
      <c r="F22" s="29" t="s">
        <v>64</v>
      </c>
      <c r="G22" s="30" t="s">
        <v>115</v>
      </c>
    </row>
    <row r="23" customFormat="false" ht="15" hidden="false" customHeight="false" outlineLevel="0" collapsed="false">
      <c r="A23" s="21" t="s">
        <v>116</v>
      </c>
      <c r="B23" s="22" t="s">
        <v>117</v>
      </c>
      <c r="C23" s="23" t="s">
        <v>73</v>
      </c>
      <c r="D23" s="5" t="s">
        <v>6</v>
      </c>
      <c r="E23" s="24" t="s">
        <v>63</v>
      </c>
      <c r="F23" s="24" t="s">
        <v>64</v>
      </c>
      <c r="G23" s="25" t="s">
        <v>118</v>
      </c>
    </row>
    <row r="24" customFormat="false" ht="15" hidden="false" customHeight="false" outlineLevel="0" collapsed="false">
      <c r="A24" s="26" t="s">
        <v>119</v>
      </c>
      <c r="B24" s="27" t="s">
        <v>120</v>
      </c>
      <c r="C24" s="28" t="s">
        <v>73</v>
      </c>
      <c r="D24" s="5" t="s">
        <v>6</v>
      </c>
      <c r="E24" s="29" t="s">
        <v>63</v>
      </c>
      <c r="F24" s="29" t="s">
        <v>64</v>
      </c>
      <c r="G24" s="30" t="s">
        <v>121</v>
      </c>
    </row>
    <row r="25" customFormat="false" ht="15" hidden="false" customHeight="false" outlineLevel="0" collapsed="false">
      <c r="A25" s="21" t="s">
        <v>122</v>
      </c>
      <c r="B25" s="22" t="s">
        <v>123</v>
      </c>
      <c r="C25" s="23" t="s">
        <v>73</v>
      </c>
      <c r="D25" s="5" t="s">
        <v>6</v>
      </c>
      <c r="E25" s="24" t="s">
        <v>63</v>
      </c>
      <c r="F25" s="24" t="s">
        <v>64</v>
      </c>
      <c r="G25" s="25" t="s">
        <v>124</v>
      </c>
    </row>
    <row r="26" customFormat="false" ht="15" hidden="false" customHeight="false" outlineLevel="0" collapsed="false">
      <c r="A26" s="26" t="s">
        <v>125</v>
      </c>
      <c r="B26" s="27" t="s">
        <v>126</v>
      </c>
      <c r="C26" s="28" t="s">
        <v>73</v>
      </c>
      <c r="D26" s="5" t="s">
        <v>6</v>
      </c>
      <c r="E26" s="29" t="s">
        <v>63</v>
      </c>
      <c r="F26" s="29" t="s">
        <v>64</v>
      </c>
      <c r="G26" s="30" t="s">
        <v>127</v>
      </c>
    </row>
    <row r="27" customFormat="false" ht="22.35" hidden="false" customHeight="false" outlineLevel="0" collapsed="false">
      <c r="A27" s="21" t="s">
        <v>33</v>
      </c>
      <c r="B27" s="22" t="s">
        <v>128</v>
      </c>
      <c r="C27" s="23" t="s">
        <v>129</v>
      </c>
      <c r="D27" s="5" t="s">
        <v>6</v>
      </c>
      <c r="E27" s="24" t="s">
        <v>63</v>
      </c>
      <c r="F27" s="24" t="s">
        <v>12</v>
      </c>
      <c r="G27" s="25" t="s">
        <v>130</v>
      </c>
    </row>
    <row r="28" customFormat="false" ht="22.35" hidden="false" customHeight="false" outlineLevel="0" collapsed="false">
      <c r="A28" s="26" t="s">
        <v>131</v>
      </c>
      <c r="B28" s="27" t="s">
        <v>132</v>
      </c>
      <c r="C28" s="28" t="s">
        <v>133</v>
      </c>
      <c r="D28" s="5" t="s">
        <v>6</v>
      </c>
      <c r="E28" s="29" t="s">
        <v>63</v>
      </c>
      <c r="F28" s="29" t="s">
        <v>64</v>
      </c>
      <c r="G28" s="30" t="s">
        <v>134</v>
      </c>
    </row>
    <row r="29" customFormat="false" ht="32.8" hidden="false" customHeight="false" outlineLevel="0" collapsed="false">
      <c r="A29" s="21" t="s">
        <v>135</v>
      </c>
      <c r="B29" s="22" t="s">
        <v>136</v>
      </c>
      <c r="C29" s="23" t="s">
        <v>73</v>
      </c>
      <c r="D29" s="8" t="s">
        <v>8</v>
      </c>
      <c r="E29" s="24" t="s">
        <v>137</v>
      </c>
      <c r="F29" s="24" t="s">
        <v>138</v>
      </c>
      <c r="G29" s="25" t="s">
        <v>139</v>
      </c>
    </row>
    <row r="30" customFormat="false" ht="15" hidden="false" customHeight="false" outlineLevel="0" collapsed="false">
      <c r="A30" s="26" t="s">
        <v>140</v>
      </c>
      <c r="B30" s="27" t="s">
        <v>141</v>
      </c>
      <c r="C30" s="28" t="s">
        <v>73</v>
      </c>
      <c r="D30" s="8" t="s">
        <v>8</v>
      </c>
      <c r="E30" s="29" t="s">
        <v>137</v>
      </c>
      <c r="F30" s="29" t="s">
        <v>138</v>
      </c>
      <c r="G30" s="30" t="s">
        <v>142</v>
      </c>
    </row>
    <row r="31" customFormat="false" ht="15" hidden="false" customHeight="false" outlineLevel="0" collapsed="false">
      <c r="A31" s="21" t="s">
        <v>143</v>
      </c>
      <c r="B31" s="22" t="s">
        <v>144</v>
      </c>
      <c r="C31" s="23" t="s">
        <v>73</v>
      </c>
      <c r="D31" s="8" t="s">
        <v>8</v>
      </c>
      <c r="E31" s="24" t="s">
        <v>137</v>
      </c>
      <c r="F31" s="24" t="s">
        <v>138</v>
      </c>
      <c r="G31" s="25" t="s">
        <v>145</v>
      </c>
    </row>
    <row r="32" customFormat="false" ht="15" hidden="false" customHeight="false" outlineLevel="0" collapsed="false">
      <c r="A32" s="26" t="s">
        <v>146</v>
      </c>
      <c r="B32" s="27" t="s">
        <v>147</v>
      </c>
      <c r="C32" s="28" t="s">
        <v>73</v>
      </c>
      <c r="D32" s="8" t="s">
        <v>8</v>
      </c>
      <c r="E32" s="29" t="s">
        <v>137</v>
      </c>
      <c r="F32" s="29" t="s">
        <v>138</v>
      </c>
      <c r="G32" s="30" t="s">
        <v>145</v>
      </c>
    </row>
    <row r="33" customFormat="false" ht="15" hidden="false" customHeight="false" outlineLevel="0" collapsed="false">
      <c r="A33" s="21" t="s">
        <v>148</v>
      </c>
      <c r="B33" s="22" t="s">
        <v>149</v>
      </c>
      <c r="C33" s="23" t="s">
        <v>73</v>
      </c>
      <c r="D33" s="8" t="s">
        <v>8</v>
      </c>
      <c r="E33" s="24" t="s">
        <v>137</v>
      </c>
      <c r="F33" s="24" t="s">
        <v>138</v>
      </c>
      <c r="G33" s="25" t="s">
        <v>145</v>
      </c>
    </row>
    <row r="34" customFormat="false" ht="15" hidden="false" customHeight="false" outlineLevel="0" collapsed="false">
      <c r="A34" s="26" t="s">
        <v>150</v>
      </c>
      <c r="B34" s="27" t="s">
        <v>151</v>
      </c>
      <c r="C34" s="28" t="s">
        <v>73</v>
      </c>
      <c r="D34" s="8" t="s">
        <v>8</v>
      </c>
      <c r="E34" s="29" t="s">
        <v>152</v>
      </c>
      <c r="F34" s="29" t="s">
        <v>138</v>
      </c>
      <c r="G34" s="30" t="s">
        <v>153</v>
      </c>
    </row>
    <row r="35" customFormat="false" ht="15" hidden="false" customHeight="false" outlineLevel="0" collapsed="false">
      <c r="A35" s="21" t="s">
        <v>154</v>
      </c>
      <c r="B35" s="22" t="s">
        <v>155</v>
      </c>
      <c r="C35" s="23" t="s">
        <v>73</v>
      </c>
      <c r="D35" s="8" t="s">
        <v>8</v>
      </c>
      <c r="E35" s="24" t="s">
        <v>152</v>
      </c>
      <c r="F35" s="24" t="s">
        <v>138</v>
      </c>
      <c r="G35" s="25" t="s">
        <v>156</v>
      </c>
    </row>
    <row r="36" customFormat="false" ht="15" hidden="false" customHeight="false" outlineLevel="0" collapsed="false">
      <c r="A36" s="26" t="s">
        <v>157</v>
      </c>
      <c r="B36" s="27" t="s">
        <v>158</v>
      </c>
      <c r="C36" s="28" t="s">
        <v>73</v>
      </c>
      <c r="D36" s="8" t="s">
        <v>8</v>
      </c>
      <c r="E36" s="29" t="s">
        <v>152</v>
      </c>
      <c r="F36" s="29" t="s">
        <v>138</v>
      </c>
      <c r="G36" s="30" t="s">
        <v>159</v>
      </c>
    </row>
    <row r="37" customFormat="false" ht="15" hidden="false" customHeight="false" outlineLevel="0" collapsed="false">
      <c r="A37" s="21" t="s">
        <v>160</v>
      </c>
      <c r="B37" s="22" t="s">
        <v>161</v>
      </c>
      <c r="C37" s="23" t="s">
        <v>62</v>
      </c>
      <c r="D37" s="8" t="s">
        <v>8</v>
      </c>
      <c r="E37" s="24" t="s">
        <v>152</v>
      </c>
      <c r="F37" s="24" t="s">
        <v>138</v>
      </c>
      <c r="G37" s="25" t="s">
        <v>162</v>
      </c>
    </row>
    <row r="38" customFormat="false" ht="15" hidden="false" customHeight="false" outlineLevel="0" collapsed="false">
      <c r="A38" s="26" t="s">
        <v>163</v>
      </c>
      <c r="B38" s="27" t="s">
        <v>164</v>
      </c>
      <c r="C38" s="28" t="s">
        <v>73</v>
      </c>
      <c r="D38" s="8" t="s">
        <v>8</v>
      </c>
      <c r="E38" s="29" t="s">
        <v>152</v>
      </c>
      <c r="F38" s="29" t="s">
        <v>138</v>
      </c>
      <c r="G38" s="30" t="s">
        <v>165</v>
      </c>
    </row>
    <row r="39" customFormat="false" ht="22.35" hidden="false" customHeight="false" outlineLevel="0" collapsed="false">
      <c r="A39" s="21" t="s">
        <v>166</v>
      </c>
      <c r="B39" s="22" t="s">
        <v>167</v>
      </c>
      <c r="C39" s="23" t="s">
        <v>73</v>
      </c>
      <c r="D39" s="8" t="s">
        <v>8</v>
      </c>
      <c r="E39" s="24" t="s">
        <v>168</v>
      </c>
      <c r="F39" s="24" t="s">
        <v>169</v>
      </c>
      <c r="G39" s="25" t="s">
        <v>170</v>
      </c>
    </row>
    <row r="40" customFormat="false" ht="15" hidden="false" customHeight="false" outlineLevel="0" collapsed="false">
      <c r="A40" s="26" t="s">
        <v>171</v>
      </c>
      <c r="B40" s="27" t="s">
        <v>172</v>
      </c>
      <c r="C40" s="28" t="s">
        <v>62</v>
      </c>
      <c r="D40" s="8" t="s">
        <v>8</v>
      </c>
      <c r="E40" s="29" t="s">
        <v>168</v>
      </c>
      <c r="F40" s="29" t="s">
        <v>173</v>
      </c>
      <c r="G40" s="30" t="s">
        <v>174</v>
      </c>
    </row>
    <row r="41" customFormat="false" ht="15" hidden="false" customHeight="false" outlineLevel="0" collapsed="false">
      <c r="A41" s="21" t="s">
        <v>175</v>
      </c>
      <c r="B41" s="22" t="s">
        <v>176</v>
      </c>
      <c r="C41" s="23" t="s">
        <v>73</v>
      </c>
      <c r="D41" s="8" t="s">
        <v>8</v>
      </c>
      <c r="E41" s="24" t="s">
        <v>168</v>
      </c>
      <c r="F41" s="24" t="s">
        <v>173</v>
      </c>
      <c r="G41" s="25" t="s">
        <v>177</v>
      </c>
    </row>
    <row r="42" customFormat="false" ht="15" hidden="false" customHeight="false" outlineLevel="0" collapsed="false">
      <c r="A42" s="26" t="s">
        <v>178</v>
      </c>
      <c r="B42" s="27" t="s">
        <v>179</v>
      </c>
      <c r="C42" s="28" t="s">
        <v>73</v>
      </c>
      <c r="D42" s="8" t="s">
        <v>8</v>
      </c>
      <c r="E42" s="29" t="s">
        <v>168</v>
      </c>
      <c r="F42" s="29" t="s">
        <v>173</v>
      </c>
      <c r="G42" s="30" t="s">
        <v>180</v>
      </c>
    </row>
    <row r="43" customFormat="false" ht="15" hidden="false" customHeight="false" outlineLevel="0" collapsed="false">
      <c r="A43" s="21" t="s">
        <v>181</v>
      </c>
      <c r="B43" s="22" t="s">
        <v>182</v>
      </c>
      <c r="C43" s="23" t="s">
        <v>73</v>
      </c>
      <c r="D43" s="8" t="s">
        <v>8</v>
      </c>
      <c r="E43" s="24" t="s">
        <v>168</v>
      </c>
      <c r="F43" s="24" t="s">
        <v>173</v>
      </c>
      <c r="G43" s="25" t="s">
        <v>183</v>
      </c>
    </row>
    <row r="44" customFormat="false" ht="15" hidden="false" customHeight="false" outlineLevel="0" collapsed="false">
      <c r="A44" s="26" t="s">
        <v>184</v>
      </c>
      <c r="B44" s="27" t="s">
        <v>185</v>
      </c>
      <c r="C44" s="28" t="s">
        <v>73</v>
      </c>
      <c r="D44" s="8" t="s">
        <v>8</v>
      </c>
      <c r="E44" s="29" t="s">
        <v>168</v>
      </c>
      <c r="F44" s="29" t="s">
        <v>173</v>
      </c>
      <c r="G44" s="30" t="s">
        <v>186</v>
      </c>
    </row>
    <row r="45" customFormat="false" ht="15" hidden="false" customHeight="false" outlineLevel="0" collapsed="false">
      <c r="A45" s="21" t="s">
        <v>187</v>
      </c>
      <c r="B45" s="22" t="s">
        <v>188</v>
      </c>
      <c r="C45" s="23" t="s">
        <v>73</v>
      </c>
      <c r="D45" s="8" t="s">
        <v>8</v>
      </c>
      <c r="E45" s="24" t="s">
        <v>168</v>
      </c>
      <c r="F45" s="24" t="s">
        <v>173</v>
      </c>
      <c r="G45" s="25" t="s">
        <v>189</v>
      </c>
    </row>
    <row r="46" customFormat="false" ht="15" hidden="false" customHeight="false" outlineLevel="0" collapsed="false">
      <c r="A46" s="26" t="s">
        <v>190</v>
      </c>
      <c r="B46" s="27" t="s">
        <v>191</v>
      </c>
      <c r="C46" s="28" t="s">
        <v>192</v>
      </c>
      <c r="D46" s="8" t="s">
        <v>8</v>
      </c>
      <c r="E46" s="29" t="s">
        <v>193</v>
      </c>
      <c r="F46" s="29" t="s">
        <v>173</v>
      </c>
      <c r="G46" s="30" t="s">
        <v>194</v>
      </c>
    </row>
    <row r="47" customFormat="false" ht="15" hidden="false" customHeight="false" outlineLevel="0" collapsed="false">
      <c r="A47" s="21" t="s">
        <v>195</v>
      </c>
      <c r="B47" s="22" t="s">
        <v>196</v>
      </c>
      <c r="C47" s="23" t="s">
        <v>192</v>
      </c>
      <c r="D47" s="8" t="s">
        <v>8</v>
      </c>
      <c r="E47" s="24" t="s">
        <v>193</v>
      </c>
      <c r="F47" s="24" t="s">
        <v>173</v>
      </c>
      <c r="G47" s="25" t="s">
        <v>197</v>
      </c>
    </row>
    <row r="48" customFormat="false" ht="15" hidden="false" customHeight="false" outlineLevel="0" collapsed="false">
      <c r="A48" s="26" t="s">
        <v>198</v>
      </c>
      <c r="B48" s="27" t="s">
        <v>199</v>
      </c>
      <c r="C48" s="28" t="s">
        <v>192</v>
      </c>
      <c r="D48" s="8" t="s">
        <v>8</v>
      </c>
      <c r="E48" s="29" t="s">
        <v>193</v>
      </c>
      <c r="F48" s="29" t="s">
        <v>173</v>
      </c>
      <c r="G48" s="30" t="s">
        <v>200</v>
      </c>
    </row>
    <row r="49" customFormat="false" ht="15" hidden="false" customHeight="false" outlineLevel="0" collapsed="false">
      <c r="A49" s="21" t="s">
        <v>201</v>
      </c>
      <c r="B49" s="22" t="s">
        <v>202</v>
      </c>
      <c r="C49" s="23" t="s">
        <v>133</v>
      </c>
      <c r="D49" s="8" t="s">
        <v>8</v>
      </c>
      <c r="E49" s="24" t="s">
        <v>193</v>
      </c>
      <c r="F49" s="24" t="s">
        <v>173</v>
      </c>
      <c r="G49" s="25" t="s">
        <v>203</v>
      </c>
    </row>
    <row r="50" customFormat="false" ht="15" hidden="false" customHeight="false" outlineLevel="0" collapsed="false">
      <c r="A50" s="26" t="s">
        <v>204</v>
      </c>
      <c r="B50" s="27" t="s">
        <v>205</v>
      </c>
      <c r="C50" s="28" t="s">
        <v>133</v>
      </c>
      <c r="D50" s="8" t="s">
        <v>8</v>
      </c>
      <c r="E50" s="29" t="s">
        <v>193</v>
      </c>
      <c r="F50" s="29" t="s">
        <v>173</v>
      </c>
      <c r="G50" s="30" t="s">
        <v>206</v>
      </c>
    </row>
    <row r="51" customFormat="false" ht="15" hidden="false" customHeight="false" outlineLevel="0" collapsed="false">
      <c r="A51" s="21" t="s">
        <v>207</v>
      </c>
      <c r="B51" s="22" t="s">
        <v>208</v>
      </c>
      <c r="C51" s="23" t="s">
        <v>133</v>
      </c>
      <c r="D51" s="8" t="s">
        <v>8</v>
      </c>
      <c r="E51" s="24" t="s">
        <v>193</v>
      </c>
      <c r="F51" s="24" t="s">
        <v>173</v>
      </c>
      <c r="G51" s="25" t="s">
        <v>209</v>
      </c>
    </row>
    <row r="52" customFormat="false" ht="15" hidden="false" customHeight="false" outlineLevel="0" collapsed="false">
      <c r="A52" s="26" t="s">
        <v>210</v>
      </c>
      <c r="B52" s="27" t="s">
        <v>211</v>
      </c>
      <c r="C52" s="28" t="s">
        <v>133</v>
      </c>
      <c r="D52" s="8" t="s">
        <v>8</v>
      </c>
      <c r="E52" s="29" t="s">
        <v>193</v>
      </c>
      <c r="F52" s="29" t="s">
        <v>173</v>
      </c>
      <c r="G52" s="30" t="s">
        <v>212</v>
      </c>
    </row>
    <row r="53" customFormat="false" ht="15" hidden="false" customHeight="false" outlineLevel="0" collapsed="false">
      <c r="A53" s="21" t="s">
        <v>213</v>
      </c>
      <c r="B53" s="22" t="s">
        <v>214</v>
      </c>
      <c r="C53" s="23" t="s">
        <v>192</v>
      </c>
      <c r="D53" s="8" t="s">
        <v>8</v>
      </c>
      <c r="E53" s="24" t="s">
        <v>193</v>
      </c>
      <c r="F53" s="24" t="s">
        <v>173</v>
      </c>
      <c r="G53" s="25" t="s">
        <v>215</v>
      </c>
    </row>
    <row r="54" customFormat="false" ht="15" hidden="false" customHeight="false" outlineLevel="0" collapsed="false">
      <c r="A54" s="26" t="s">
        <v>216</v>
      </c>
      <c r="B54" s="27" t="s">
        <v>217</v>
      </c>
      <c r="C54" s="28" t="s">
        <v>192</v>
      </c>
      <c r="D54" s="8" t="s">
        <v>8</v>
      </c>
      <c r="E54" s="29" t="s">
        <v>193</v>
      </c>
      <c r="F54" s="29" t="s">
        <v>173</v>
      </c>
      <c r="G54" s="30" t="s">
        <v>218</v>
      </c>
    </row>
    <row r="55" customFormat="false" ht="15" hidden="false" customHeight="false" outlineLevel="0" collapsed="false">
      <c r="A55" s="21" t="s">
        <v>219</v>
      </c>
      <c r="B55" s="22" t="s">
        <v>220</v>
      </c>
      <c r="C55" s="23" t="s">
        <v>73</v>
      </c>
      <c r="D55" s="8" t="s">
        <v>8</v>
      </c>
      <c r="E55" s="24" t="s">
        <v>221</v>
      </c>
      <c r="F55" s="24" t="s">
        <v>173</v>
      </c>
      <c r="G55" s="25" t="s">
        <v>222</v>
      </c>
    </row>
    <row r="56" customFormat="false" ht="15" hidden="false" customHeight="false" outlineLevel="0" collapsed="false">
      <c r="A56" s="26" t="s">
        <v>223</v>
      </c>
      <c r="B56" s="27" t="s">
        <v>224</v>
      </c>
      <c r="C56" s="28" t="s">
        <v>73</v>
      </c>
      <c r="D56" s="8" t="s">
        <v>8</v>
      </c>
      <c r="E56" s="29" t="s">
        <v>221</v>
      </c>
      <c r="F56" s="29" t="s">
        <v>173</v>
      </c>
      <c r="G56" s="30" t="s">
        <v>225</v>
      </c>
    </row>
    <row r="57" customFormat="false" ht="23.85" hidden="false" customHeight="false" outlineLevel="0" collapsed="false">
      <c r="A57" s="21" t="s">
        <v>226</v>
      </c>
      <c r="B57" s="22" t="s">
        <v>227</v>
      </c>
      <c r="C57" s="23" t="s">
        <v>73</v>
      </c>
      <c r="D57" s="8" t="s">
        <v>8</v>
      </c>
      <c r="E57" s="24" t="s">
        <v>221</v>
      </c>
      <c r="F57" s="24" t="s">
        <v>173</v>
      </c>
      <c r="G57" s="25" t="s">
        <v>228</v>
      </c>
    </row>
    <row r="58" customFormat="false" ht="15" hidden="false" customHeight="false" outlineLevel="0" collapsed="false">
      <c r="A58" s="26" t="s">
        <v>229</v>
      </c>
      <c r="B58" s="27" t="s">
        <v>230</v>
      </c>
      <c r="C58" s="28" t="s">
        <v>73</v>
      </c>
      <c r="D58" s="8" t="s">
        <v>8</v>
      </c>
      <c r="E58" s="29" t="s">
        <v>221</v>
      </c>
      <c r="F58" s="29" t="s">
        <v>173</v>
      </c>
      <c r="G58" s="30" t="s">
        <v>231</v>
      </c>
    </row>
    <row r="59" customFormat="false" ht="15" hidden="false" customHeight="false" outlineLevel="0" collapsed="false">
      <c r="A59" s="21" t="s">
        <v>232</v>
      </c>
      <c r="B59" s="22" t="s">
        <v>233</v>
      </c>
      <c r="C59" s="23" t="s">
        <v>192</v>
      </c>
      <c r="D59" s="8" t="s">
        <v>8</v>
      </c>
      <c r="E59" s="24" t="s">
        <v>221</v>
      </c>
      <c r="F59" s="24" t="s">
        <v>173</v>
      </c>
      <c r="G59" s="25" t="s">
        <v>234</v>
      </c>
    </row>
    <row r="60" customFormat="false" ht="22.35" hidden="false" customHeight="false" outlineLevel="0" collapsed="false">
      <c r="A60" s="26" t="s">
        <v>235</v>
      </c>
      <c r="B60" s="27" t="s">
        <v>236</v>
      </c>
      <c r="C60" s="28" t="s">
        <v>73</v>
      </c>
      <c r="D60" s="9" t="s">
        <v>10</v>
      </c>
      <c r="E60" s="29" t="s">
        <v>63</v>
      </c>
      <c r="F60" s="29" t="s">
        <v>169</v>
      </c>
      <c r="G60" s="30" t="s">
        <v>237</v>
      </c>
    </row>
    <row r="61" customFormat="false" ht="15" hidden="false" customHeight="false" outlineLevel="0" collapsed="false">
      <c r="A61" s="21" t="s">
        <v>238</v>
      </c>
      <c r="B61" s="22" t="s">
        <v>239</v>
      </c>
      <c r="C61" s="23" t="s">
        <v>73</v>
      </c>
      <c r="D61" s="9" t="s">
        <v>10</v>
      </c>
      <c r="E61" s="24" t="s">
        <v>63</v>
      </c>
      <c r="F61" s="24" t="s">
        <v>169</v>
      </c>
      <c r="G61" s="25" t="s">
        <v>240</v>
      </c>
    </row>
    <row r="62" customFormat="false" ht="22.35" hidden="false" customHeight="false" outlineLevel="0" collapsed="false">
      <c r="A62" s="26" t="s">
        <v>241</v>
      </c>
      <c r="B62" s="27" t="s">
        <v>242</v>
      </c>
      <c r="C62" s="28" t="s">
        <v>192</v>
      </c>
      <c r="D62" s="9" t="s">
        <v>10</v>
      </c>
      <c r="E62" s="29" t="s">
        <v>63</v>
      </c>
      <c r="F62" s="29" t="s">
        <v>169</v>
      </c>
      <c r="G62" s="30" t="s">
        <v>243</v>
      </c>
    </row>
    <row r="63" customFormat="false" ht="15" hidden="false" customHeight="false" outlineLevel="0" collapsed="false">
      <c r="A63" s="21" t="s">
        <v>244</v>
      </c>
      <c r="B63" s="22" t="s">
        <v>245</v>
      </c>
      <c r="C63" s="23" t="s">
        <v>192</v>
      </c>
      <c r="D63" s="9" t="s">
        <v>10</v>
      </c>
      <c r="E63" s="24" t="s">
        <v>63</v>
      </c>
      <c r="F63" s="24" t="s">
        <v>169</v>
      </c>
      <c r="G63" s="25" t="s">
        <v>246</v>
      </c>
    </row>
    <row r="64" customFormat="false" ht="22.35" hidden="false" customHeight="false" outlineLevel="0" collapsed="false">
      <c r="A64" s="26" t="s">
        <v>247</v>
      </c>
      <c r="B64" s="27" t="s">
        <v>248</v>
      </c>
      <c r="C64" s="28" t="s">
        <v>73</v>
      </c>
      <c r="D64" s="9" t="s">
        <v>10</v>
      </c>
      <c r="E64" s="29" t="s">
        <v>63</v>
      </c>
      <c r="F64" s="29" t="s">
        <v>173</v>
      </c>
      <c r="G64" s="30" t="s">
        <v>249</v>
      </c>
    </row>
    <row r="65" customFormat="false" ht="15" hidden="false" customHeight="false" outlineLevel="0" collapsed="false">
      <c r="A65" s="21" t="s">
        <v>250</v>
      </c>
      <c r="B65" s="22" t="s">
        <v>251</v>
      </c>
      <c r="C65" s="23" t="s">
        <v>73</v>
      </c>
      <c r="D65" s="9" t="s">
        <v>10</v>
      </c>
      <c r="E65" s="24" t="s">
        <v>63</v>
      </c>
      <c r="F65" s="24" t="s">
        <v>173</v>
      </c>
      <c r="G65" s="25" t="s">
        <v>252</v>
      </c>
    </row>
    <row r="66" customFormat="false" ht="15" hidden="false" customHeight="false" outlineLevel="0" collapsed="false">
      <c r="A66" s="26" t="s">
        <v>253</v>
      </c>
      <c r="B66" s="27" t="s">
        <v>254</v>
      </c>
      <c r="C66" s="28" t="s">
        <v>73</v>
      </c>
      <c r="D66" s="9" t="s">
        <v>10</v>
      </c>
      <c r="E66" s="29" t="s">
        <v>63</v>
      </c>
      <c r="F66" s="29" t="s">
        <v>173</v>
      </c>
      <c r="G66" s="30" t="s">
        <v>255</v>
      </c>
    </row>
    <row r="67" customFormat="false" ht="22.35" hidden="false" customHeight="false" outlineLevel="0" collapsed="false">
      <c r="A67" s="21" t="s">
        <v>256</v>
      </c>
      <c r="B67" s="22" t="s">
        <v>257</v>
      </c>
      <c r="C67" s="23" t="s">
        <v>192</v>
      </c>
      <c r="D67" s="9" t="s">
        <v>10</v>
      </c>
      <c r="E67" s="24" t="s">
        <v>63</v>
      </c>
      <c r="F67" s="24" t="s">
        <v>258</v>
      </c>
      <c r="G67" s="25" t="s">
        <v>259</v>
      </c>
    </row>
    <row r="68" customFormat="false" ht="22.35" hidden="false" customHeight="false" outlineLevel="0" collapsed="false">
      <c r="A68" s="26" t="s">
        <v>260</v>
      </c>
      <c r="B68" s="27" t="s">
        <v>261</v>
      </c>
      <c r="C68" s="28" t="s">
        <v>192</v>
      </c>
      <c r="D68" s="9" t="s">
        <v>10</v>
      </c>
      <c r="E68" s="29" t="s">
        <v>63</v>
      </c>
      <c r="F68" s="29" t="s">
        <v>258</v>
      </c>
      <c r="G68" s="30" t="s">
        <v>262</v>
      </c>
    </row>
    <row r="69" customFormat="false" ht="15" hidden="false" customHeight="false" outlineLevel="0" collapsed="false">
      <c r="A69" s="21" t="s">
        <v>263</v>
      </c>
      <c r="B69" s="22" t="s">
        <v>264</v>
      </c>
      <c r="C69" s="23" t="s">
        <v>192</v>
      </c>
      <c r="D69" s="9" t="s">
        <v>10</v>
      </c>
      <c r="E69" s="24" t="s">
        <v>63</v>
      </c>
      <c r="F69" s="24" t="s">
        <v>258</v>
      </c>
      <c r="G69" s="25" t="s">
        <v>265</v>
      </c>
    </row>
    <row r="70" customFormat="false" ht="15" hidden="false" customHeight="false" outlineLevel="0" collapsed="false">
      <c r="A70" s="26" t="s">
        <v>266</v>
      </c>
      <c r="B70" s="27" t="s">
        <v>267</v>
      </c>
      <c r="C70" s="28" t="s">
        <v>129</v>
      </c>
      <c r="D70" s="10" t="s">
        <v>12</v>
      </c>
      <c r="E70" s="29" t="s">
        <v>63</v>
      </c>
      <c r="F70" s="29" t="s">
        <v>12</v>
      </c>
      <c r="G70" s="30" t="s">
        <v>268</v>
      </c>
    </row>
    <row r="71" customFormat="false" ht="15" hidden="false" customHeight="false" outlineLevel="0" collapsed="false">
      <c r="A71" s="21" t="s">
        <v>36</v>
      </c>
      <c r="B71" s="22" t="s">
        <v>269</v>
      </c>
      <c r="C71" s="23" t="s">
        <v>270</v>
      </c>
      <c r="D71" s="10" t="s">
        <v>12</v>
      </c>
      <c r="E71" s="24" t="s">
        <v>63</v>
      </c>
      <c r="F71" s="24" t="s">
        <v>12</v>
      </c>
      <c r="G71" s="25" t="s">
        <v>271</v>
      </c>
    </row>
    <row r="72" customFormat="false" ht="15" hidden="false" customHeight="false" outlineLevel="0" collapsed="false">
      <c r="A72" s="26" t="s">
        <v>272</v>
      </c>
      <c r="B72" s="27" t="s">
        <v>273</v>
      </c>
      <c r="C72" s="28" t="s">
        <v>270</v>
      </c>
      <c r="D72" s="10" t="s">
        <v>12</v>
      </c>
      <c r="E72" s="29" t="s">
        <v>63</v>
      </c>
      <c r="F72" s="29" t="s">
        <v>12</v>
      </c>
      <c r="G72" s="30" t="s">
        <v>274</v>
      </c>
    </row>
  </sheetData>
  <autoFilter ref="A4:G72"/>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4" min="3" style="0" width="44"/>
  </cols>
  <sheetData>
    <row r="1" customFormat="false" ht="24" hidden="false" customHeight="true" outlineLevel="0" collapsed="false">
      <c r="A1" s="31" t="s">
        <v>275</v>
      </c>
      <c r="B1" s="31"/>
      <c r="C1" s="31"/>
      <c r="D1" s="31"/>
    </row>
    <row r="3" customFormat="false" ht="15" hidden="false" customHeight="true" outlineLevel="0" collapsed="false">
      <c r="A3" s="32" t="s">
        <v>276</v>
      </c>
      <c r="B3" s="32"/>
      <c r="C3" s="32"/>
      <c r="D3" s="32"/>
    </row>
    <row r="4" customFormat="false" ht="15" hidden="false" customHeight="false" outlineLevel="0" collapsed="false">
      <c r="A4" s="4" t="s">
        <v>53</v>
      </c>
      <c r="B4" s="4" t="s">
        <v>277</v>
      </c>
      <c r="C4" s="4" t="s">
        <v>278</v>
      </c>
    </row>
    <row r="5" customFormat="false" ht="22.35" hidden="false" customHeight="false" outlineLevel="0" collapsed="false">
      <c r="A5" s="33" t="s">
        <v>33</v>
      </c>
      <c r="B5" s="14" t="s">
        <v>128</v>
      </c>
      <c r="C5" s="14" t="s">
        <v>279</v>
      </c>
    </row>
    <row r="6" customFormat="false" ht="22.35" hidden="false" customHeight="false" outlineLevel="0" collapsed="false">
      <c r="A6" s="33" t="s">
        <v>266</v>
      </c>
      <c r="B6" s="14" t="s">
        <v>280</v>
      </c>
      <c r="C6" s="14" t="s">
        <v>281</v>
      </c>
    </row>
    <row r="7" customFormat="false" ht="15" hidden="false" customHeight="false" outlineLevel="0" collapsed="false">
      <c r="A7" s="33" t="s">
        <v>36</v>
      </c>
      <c r="B7" s="14" t="s">
        <v>269</v>
      </c>
      <c r="C7" s="14" t="s">
        <v>282</v>
      </c>
    </row>
    <row r="8" customFormat="false" ht="15" hidden="false" customHeight="false" outlineLevel="0" collapsed="false">
      <c r="A8" s="33" t="s">
        <v>272</v>
      </c>
      <c r="B8" s="14" t="s">
        <v>273</v>
      </c>
      <c r="C8" s="14" t="s">
        <v>283</v>
      </c>
    </row>
    <row r="10" customFormat="false" ht="15" hidden="false" customHeight="true" outlineLevel="0" collapsed="false">
      <c r="A10" s="34" t="s">
        <v>284</v>
      </c>
      <c r="B10" s="34"/>
      <c r="C10" s="34"/>
      <c r="D10" s="34"/>
    </row>
    <row r="11" customFormat="false" ht="15" hidden="false" customHeight="false" outlineLevel="0" collapsed="false">
      <c r="A11" s="4" t="s">
        <v>53</v>
      </c>
      <c r="B11" s="4" t="s">
        <v>285</v>
      </c>
      <c r="C11" s="4" t="s">
        <v>286</v>
      </c>
    </row>
    <row r="12" customFormat="false" ht="15" hidden="false" customHeight="false" outlineLevel="0" collapsed="false">
      <c r="A12" s="33" t="s">
        <v>204</v>
      </c>
      <c r="B12" s="14" t="s">
        <v>287</v>
      </c>
      <c r="C12" s="14" t="s">
        <v>288</v>
      </c>
    </row>
    <row r="13" customFormat="false" ht="15" hidden="false" customHeight="false" outlineLevel="0" collapsed="false">
      <c r="A13" s="33" t="s">
        <v>201</v>
      </c>
      <c r="B13" s="14" t="s">
        <v>289</v>
      </c>
      <c r="C13" s="14" t="s">
        <v>290</v>
      </c>
    </row>
    <row r="14" customFormat="false" ht="15" hidden="false" customHeight="false" outlineLevel="0" collapsed="false">
      <c r="A14" s="33" t="s">
        <v>207</v>
      </c>
      <c r="B14" s="14" t="s">
        <v>291</v>
      </c>
      <c r="C14" s="14" t="s">
        <v>292</v>
      </c>
    </row>
    <row r="15" customFormat="false" ht="15" hidden="false" customHeight="false" outlineLevel="0" collapsed="false">
      <c r="A15" s="33" t="s">
        <v>210</v>
      </c>
      <c r="B15" s="14" t="s">
        <v>293</v>
      </c>
      <c r="C15" s="14" t="s">
        <v>294</v>
      </c>
    </row>
    <row r="16" customFormat="false" ht="15" hidden="false" customHeight="false" outlineLevel="0" collapsed="false">
      <c r="A16" s="33" t="s">
        <v>131</v>
      </c>
      <c r="B16" s="14" t="s">
        <v>295</v>
      </c>
      <c r="C16" s="14" t="s">
        <v>296</v>
      </c>
    </row>
    <row r="18" customFormat="false" ht="15" hidden="false" customHeight="true" outlineLevel="0" collapsed="false">
      <c r="A18" s="35" t="s">
        <v>25</v>
      </c>
      <c r="B18" s="35"/>
      <c r="C18" s="35"/>
      <c r="D18" s="35"/>
    </row>
    <row r="19" customFormat="false" ht="15" hidden="false" customHeight="false" outlineLevel="0" collapsed="false">
      <c r="A19" s="4" t="s">
        <v>53</v>
      </c>
      <c r="B19" s="4" t="s">
        <v>277</v>
      </c>
      <c r="C19" s="4" t="s">
        <v>297</v>
      </c>
    </row>
    <row r="20" customFormat="false" ht="15" hidden="false" customHeight="false" outlineLevel="0" collapsed="false">
      <c r="A20" s="33" t="s">
        <v>244</v>
      </c>
      <c r="B20" s="14" t="s">
        <v>298</v>
      </c>
      <c r="C20" s="14" t="s">
        <v>299</v>
      </c>
    </row>
    <row r="21" customFormat="false" ht="22.35" hidden="false" customHeight="false" outlineLevel="0" collapsed="false">
      <c r="A21" s="33" t="s">
        <v>241</v>
      </c>
      <c r="B21" s="14" t="s">
        <v>300</v>
      </c>
      <c r="C21" s="14" t="s">
        <v>301</v>
      </c>
    </row>
    <row r="22" customFormat="false" ht="15" hidden="false" customHeight="false" outlineLevel="0" collapsed="false">
      <c r="A22" s="33" t="s">
        <v>190</v>
      </c>
      <c r="B22" s="14" t="s">
        <v>302</v>
      </c>
      <c r="C22" s="14" t="s">
        <v>303</v>
      </c>
    </row>
    <row r="23" customFormat="false" ht="15" hidden="false" customHeight="false" outlineLevel="0" collapsed="false">
      <c r="A23" s="33" t="s">
        <v>195</v>
      </c>
      <c r="B23" s="14" t="s">
        <v>196</v>
      </c>
      <c r="C23" s="14" t="s">
        <v>304</v>
      </c>
    </row>
    <row r="24" customFormat="false" ht="15" hidden="false" customHeight="false" outlineLevel="0" collapsed="false">
      <c r="A24" s="33" t="s">
        <v>198</v>
      </c>
      <c r="B24" s="14" t="s">
        <v>199</v>
      </c>
      <c r="C24" s="14" t="s">
        <v>305</v>
      </c>
    </row>
    <row r="25" customFormat="false" ht="15" hidden="false" customHeight="false" outlineLevel="0" collapsed="false">
      <c r="A25" s="33" t="s">
        <v>213</v>
      </c>
      <c r="B25" s="14" t="s">
        <v>214</v>
      </c>
      <c r="C25" s="14" t="s">
        <v>306</v>
      </c>
    </row>
    <row r="26" customFormat="false" ht="15" hidden="false" customHeight="false" outlineLevel="0" collapsed="false">
      <c r="A26" s="33" t="s">
        <v>260</v>
      </c>
      <c r="B26" s="14" t="s">
        <v>261</v>
      </c>
      <c r="C26" s="14" t="s">
        <v>307</v>
      </c>
    </row>
    <row r="27" customFormat="false" ht="15" hidden="false" customHeight="false" outlineLevel="0" collapsed="false">
      <c r="A27" s="33" t="s">
        <v>263</v>
      </c>
      <c r="B27" s="14" t="s">
        <v>308</v>
      </c>
      <c r="C27" s="14" t="s">
        <v>309</v>
      </c>
    </row>
    <row r="28" customFormat="false" ht="15" hidden="false" customHeight="false" outlineLevel="0" collapsed="false">
      <c r="A28" s="33" t="s">
        <v>216</v>
      </c>
      <c r="B28" s="14" t="s">
        <v>310</v>
      </c>
      <c r="C28" s="14" t="s">
        <v>311</v>
      </c>
    </row>
    <row r="30" customFormat="false" ht="15" hidden="false" customHeight="true" outlineLevel="0" collapsed="false">
      <c r="A30" s="35" t="s">
        <v>312</v>
      </c>
      <c r="B30" s="35"/>
      <c r="C30" s="35"/>
      <c r="D30" s="35"/>
    </row>
    <row r="31" customFormat="false" ht="15" hidden="false" customHeight="false" outlineLevel="0" collapsed="false">
      <c r="A31" s="4" t="s">
        <v>53</v>
      </c>
      <c r="B31" s="4" t="s">
        <v>313</v>
      </c>
      <c r="C31" s="4" t="s">
        <v>314</v>
      </c>
    </row>
    <row r="32" customFormat="false" ht="15" hidden="false" customHeight="false" outlineLevel="0" collapsed="false">
      <c r="A32" s="33" t="s">
        <v>66</v>
      </c>
      <c r="B32" s="14" t="s">
        <v>315</v>
      </c>
      <c r="C32" s="14" t="s">
        <v>316</v>
      </c>
    </row>
    <row r="33" customFormat="false" ht="15" hidden="false" customHeight="false" outlineLevel="0" collapsed="false">
      <c r="A33" s="33" t="s">
        <v>171</v>
      </c>
      <c r="B33" s="14" t="s">
        <v>317</v>
      </c>
      <c r="C33" s="14" t="s">
        <v>318</v>
      </c>
    </row>
    <row r="34" customFormat="false" ht="22.35" hidden="false" customHeight="false" outlineLevel="0" collapsed="false">
      <c r="A34" s="33" t="s">
        <v>319</v>
      </c>
      <c r="B34" s="14" t="s">
        <v>320</v>
      </c>
      <c r="C34" s="14" t="s">
        <v>321</v>
      </c>
    </row>
    <row r="35" customFormat="false" ht="15" hidden="false" customHeight="false" outlineLevel="0" collapsed="false">
      <c r="A35" s="33" t="s">
        <v>39</v>
      </c>
      <c r="B35" s="14" t="s">
        <v>322</v>
      </c>
      <c r="C35" s="14" t="s">
        <v>323</v>
      </c>
    </row>
  </sheetData>
  <mergeCells count="5">
    <mergeCell ref="A1:D1"/>
    <mergeCell ref="A3:D3"/>
    <mergeCell ref="A10:D10"/>
    <mergeCell ref="A18:D18"/>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50"/>
    <col collapsed="false" customWidth="true" hidden="false" outlineLevel="0" max="4" min="4" style="0" width="42"/>
  </cols>
  <sheetData>
    <row r="1" customFormat="false" ht="24" hidden="false" customHeight="true" outlineLevel="0" collapsed="false">
      <c r="A1" s="31" t="s">
        <v>324</v>
      </c>
      <c r="B1" s="31"/>
      <c r="C1" s="31"/>
      <c r="D1" s="31"/>
    </row>
    <row r="3" customFormat="false" ht="15" hidden="false" customHeight="false" outlineLevel="0" collapsed="false">
      <c r="A3" s="4" t="s">
        <v>58</v>
      </c>
      <c r="B3" s="4" t="s">
        <v>325</v>
      </c>
      <c r="C3" s="4" t="s">
        <v>326</v>
      </c>
      <c r="D3" s="4" t="s">
        <v>327</v>
      </c>
    </row>
    <row r="4" customFormat="false" ht="54" hidden="false" customHeight="true" outlineLevel="0" collapsed="false">
      <c r="A4" s="36" t="s">
        <v>328</v>
      </c>
      <c r="B4" s="30" t="s">
        <v>329</v>
      </c>
      <c r="C4" s="30" t="s">
        <v>330</v>
      </c>
      <c r="D4" s="30" t="s">
        <v>331</v>
      </c>
    </row>
    <row r="5" customFormat="false" ht="54" hidden="false" customHeight="true" outlineLevel="0" collapsed="false">
      <c r="A5" s="37" t="s">
        <v>332</v>
      </c>
      <c r="B5" s="38" t="s">
        <v>7</v>
      </c>
      <c r="C5" s="38" t="s">
        <v>333</v>
      </c>
      <c r="D5" s="38" t="s">
        <v>334</v>
      </c>
    </row>
    <row r="6" customFormat="false" ht="54" hidden="false" customHeight="true" outlineLevel="0" collapsed="false">
      <c r="A6" s="39" t="s">
        <v>335</v>
      </c>
      <c r="B6" s="40" t="s">
        <v>336</v>
      </c>
      <c r="C6" s="40" t="s">
        <v>337</v>
      </c>
      <c r="D6" s="40" t="s">
        <v>338</v>
      </c>
    </row>
    <row r="7" customFormat="false" ht="54" hidden="false" customHeight="true" outlineLevel="0" collapsed="false">
      <c r="A7" s="41" t="s">
        <v>339</v>
      </c>
      <c r="B7" s="42" t="s">
        <v>340</v>
      </c>
      <c r="C7" s="42" t="s">
        <v>341</v>
      </c>
      <c r="D7" s="42" t="s">
        <v>342</v>
      </c>
    </row>
    <row r="8" customFormat="false" ht="54" hidden="false" customHeight="true" outlineLevel="0" collapsed="false">
      <c r="A8" s="36" t="s">
        <v>343</v>
      </c>
      <c r="B8" s="30" t="s">
        <v>344</v>
      </c>
      <c r="C8" s="30" t="s">
        <v>345</v>
      </c>
      <c r="D8" s="30" t="s">
        <v>346</v>
      </c>
    </row>
    <row r="9" customFormat="false" ht="54" hidden="false" customHeight="true" outlineLevel="0" collapsed="false">
      <c r="A9" s="43" t="s">
        <v>258</v>
      </c>
      <c r="B9" s="44" t="s">
        <v>347</v>
      </c>
      <c r="C9" s="44" t="s">
        <v>348</v>
      </c>
      <c r="D9" s="44" t="s">
        <v>349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2026-07-29T02:44:49Z</dcterms:created>
  <dc:creator>openpyxl</dc:creator>
  <dc:description/>
  <dc:language>en-US</dc:language>
  <cp:lastModifiedBy/>
  <dcterms:modified xsi:type="dcterms:W3CDTF">2026-07-29T02:44:49Z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