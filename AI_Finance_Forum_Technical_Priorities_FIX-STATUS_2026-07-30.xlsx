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13" activeTab="13" autoFilterDateGrouping="1"/>
  </bookViews>
  <sheets>
    <sheet xmlns:r="http://schemas.openxmlformats.org/officeDocument/2006/relationships" name="00_Summary" sheetId="1" state="visible" r:id="rId1"/>
    <sheet xmlns:r="http://schemas.openxmlformats.org/officeDocument/2006/relationships" name="0A_Cari_Cepat" sheetId="2" state="visible" r:id="rId2"/>
    <sheet xmlns:r="http://schemas.openxmlformats.org/officeDocument/2006/relationships" name="00B_Panduan_Bahasa" sheetId="3" state="hidden" r:id="rId3"/>
    <sheet xmlns:r="http://schemas.openxmlformats.org/officeDocument/2006/relationships" name="01_Findings" sheetId="4" state="hidden" r:id="rId4"/>
    <sheet xmlns:r="http://schemas.openxmlformats.org/officeDocument/2006/relationships" name="01B_Findings_ID" sheetId="5" state="visible" r:id="rId5"/>
    <sheet xmlns:r="http://schemas.openxmlformats.org/officeDocument/2006/relationships" name="02_Manual_Test_Checklist" sheetId="6" state="hidden" r:id="rId6"/>
    <sheet xmlns:r="http://schemas.openxmlformats.org/officeDocument/2006/relationships" name="02B_Manual_Test_Checklist_ID" sheetId="7" state="visible" r:id="rId7"/>
    <sheet xmlns:r="http://schemas.openxmlformats.org/officeDocument/2006/relationships" name="03_Formula_Checks" sheetId="8" state="visible" r:id="rId8"/>
    <sheet xmlns:r="http://schemas.openxmlformats.org/officeDocument/2006/relationships" name="04_Dataset_Requirements" sheetId="9" state="visible" r:id="rId9"/>
    <sheet xmlns:r="http://schemas.openxmlformats.org/officeDocument/2006/relationships" name="05_Filter_Requirements" sheetId="10" state="visible" r:id="rId10"/>
    <sheet xmlns:r="http://schemas.openxmlformats.org/officeDocument/2006/relationships" name="06_Demo_Readiness_Gate" sheetId="11" state="hidden" r:id="rId11"/>
    <sheet xmlns:r="http://schemas.openxmlformats.org/officeDocument/2006/relationships" name="06B_Demo_Readiness_Gate_ID" sheetId="12" state="visible" r:id="rId12"/>
    <sheet xmlns:r="http://schemas.openxmlformats.org/officeDocument/2006/relationships" name="Technical Priorities ID" sheetId="13" state="visible" r:id="rId13"/>
    <sheet xmlns:r="http://schemas.openxmlformats.org/officeDocument/2006/relationships" name="Technical Priorities EN" sheetId="14" state="visible" r:id="rId14"/>
  </sheets>
  <definedNames>
    <definedName name="_xlnm._FilterDatabase" localSheetId="3" hidden="1">'01_Findings'!$A$4:$Q$66</definedName>
    <definedName name="_xlnm._FilterDatabase" localSheetId="4" hidden="1">'01B_Findings_ID'!$A$4:$Q$66</definedName>
    <definedName name="_xlnm._FilterDatabase" localSheetId="5" hidden="1">'02_Manual_Test_Checklist'!$A$4:$L$35</definedName>
    <definedName name="_xlnm._FilterDatabase" localSheetId="6" hidden="1">'02B_Manual_Test_Checklist_ID'!$A$4:$L$35</definedName>
    <definedName name="_xlnm._FilterDatabase" localSheetId="7" hidden="1">'03_Formula_Checks'!$A$4:$G$66</definedName>
    <definedName name="_xlnm._FilterDatabase" localSheetId="9" hidden="1">'05_Filter_Requirements'!$A$4:$H$26</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yyyy\-mm\-dd"/>
  </numFmts>
  <fonts count="25">
    <font>
      <name val="Calibri"/>
      <charset val="1"/>
      <family val="2"/>
      <color theme="1"/>
      <sz val="11"/>
    </font>
    <font>
      <name val="Arial"/>
      <charset val="1"/>
      <b val="1"/>
      <color rgb="FF1F3864"/>
      <sz val="15"/>
    </font>
    <font>
      <name val="Arial"/>
      <charset val="1"/>
      <i val="1"/>
      <color rgb="FF595959"/>
      <sz val="10"/>
    </font>
    <font>
      <name val="Arial"/>
      <charset val="1"/>
      <b val="1"/>
      <color rgb="FF2E5C8A"/>
      <sz val="11"/>
    </font>
    <font>
      <name val="Arial"/>
      <charset val="1"/>
      <b val="1"/>
      <color rgb="FFFFFFFF"/>
      <sz val="10"/>
    </font>
    <font>
      <name val="Arial"/>
      <charset val="1"/>
      <sz val="10"/>
    </font>
    <font>
      <name val="Aptos Narrow"/>
      <family val="2"/>
      <sz val="10"/>
    </font>
    <font>
      <name val="Aptos Narrow"/>
      <family val="2"/>
      <color theme="1"/>
      <sz val="11"/>
    </font>
    <font>
      <name val="Aptos Narrow"/>
      <family val="2"/>
      <b val="1"/>
      <color rgb="FF1F3864"/>
      <sz val="15"/>
    </font>
    <font>
      <name val="Aptos Narrow"/>
      <family val="2"/>
      <i val="1"/>
      <color rgb="FF595959"/>
      <sz val="10"/>
    </font>
    <font>
      <name val="Aptos Narrow"/>
      <family val="2"/>
      <b val="1"/>
      <color rgb="FF2E5C8A"/>
      <sz val="11"/>
    </font>
    <font>
      <name val="Aptos Narrow"/>
      <family val="2"/>
      <b val="1"/>
      <sz val="10"/>
    </font>
    <font>
      <name val="Aptos Narrow"/>
      <family val="2"/>
      <b val="1"/>
      <color rgb="FF1F3864"/>
      <sz val="22"/>
    </font>
    <font>
      <name val="Aptos Narrow"/>
      <family val="2"/>
      <b val="1"/>
      <color rgb="FFFFFFFF"/>
      <sz val="10"/>
    </font>
    <font>
      <name val="Aptos Narrow"/>
      <family val="2"/>
      <b val="1"/>
      <color rgb="FF2E5C8A"/>
      <sz val="10"/>
    </font>
    <font>
      <name val="Aptos Narrow"/>
      <family val="2"/>
      <b val="1"/>
      <color rgb="FF0000FF"/>
      <sz val="20"/>
    </font>
    <font>
      <name val="Aptos Narrow"/>
      <family val="2"/>
      <b val="1"/>
      <color rgb="FFFFFF00"/>
      <sz val="10"/>
    </font>
    <font>
      <name val="Calibri"/>
      <charset val="1"/>
      <family val="2"/>
      <b val="1"/>
      <color rgb="FFFFFFFF"/>
      <sz val="11"/>
    </font>
    <font>
      <name val="Calibri"/>
      <charset val="1"/>
      <family val="2"/>
      <b val="1"/>
      <color rgb="FFFFFFFF"/>
      <sz val="18"/>
    </font>
    <font>
      <name val="Calibri"/>
      <charset val="1"/>
      <family val="2"/>
      <i val="1"/>
      <color rgb="FF666666"/>
      <sz val="10"/>
    </font>
    <font>
      <name val="Calibri"/>
      <charset val="1"/>
      <family val="2"/>
      <color rgb="FF1F1F1F"/>
      <sz val="11"/>
    </font>
    <font>
      <name val="Calibri"/>
      <charset val="1"/>
      <family val="2"/>
      <b val="1"/>
      <color rgb="FF17365D"/>
      <sz val="22"/>
    </font>
    <font>
      <b val="1"/>
      <color rgb="00006100"/>
    </font>
    <font>
      <b val="1"/>
      <color rgb="009C6500"/>
    </font>
    <font>
      <b val="1"/>
    </font>
  </fonts>
  <fills count="15">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FFFBD5A5"/>
        <bgColor rgb="FFF4B7B7"/>
      </patternFill>
    </fill>
    <fill>
      <patternFill patternType="solid">
        <fgColor theme="1"/>
        <bgColor rgb="FF333333"/>
      </patternFill>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EAF2F8"/>
        <bgColor indexed="64"/>
      </patternFill>
    </fill>
    <fill>
      <patternFill patternType="solid">
        <fgColor rgb="FF2F75B5"/>
        <bgColor indexed="64"/>
      </patternFill>
    </fill>
    <fill>
      <patternFill patternType="solid">
        <fgColor rgb="FF5B9BD5"/>
        <bgColor indexed="64"/>
      </patternFill>
    </fill>
    <fill>
      <patternFill patternType="solid">
        <fgColor rgb="00C6EFCE"/>
      </patternFill>
    </fill>
    <fill>
      <patternFill patternType="solid">
        <fgColor rgb="00FFEB9C"/>
      </patternFill>
    </fill>
    <fill>
      <patternFill patternType="solid">
        <fgColor rgb="00DDEBF7"/>
      </patternFill>
    </fill>
  </fills>
  <borders count="21">
    <border>
      <left/>
      <right/>
      <top/>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B8C2CC"/>
      </top>
      <bottom style="thin">
        <color rgb="FFD9E1F2"/>
      </bottom>
      <diagonal/>
    </border>
    <border>
      <left style="thin">
        <color indexed="64"/>
      </left>
      <right style="thin">
        <color indexed="64"/>
      </right>
      <top style="thin">
        <color rgb="FFD9E1F2"/>
      </top>
      <bottom style="thin">
        <color rgb="FFD9E1F2"/>
      </bottom>
      <diagonal/>
    </border>
    <border>
      <left style="thin">
        <color indexed="64"/>
      </left>
      <right style="thin">
        <color indexed="64"/>
      </right>
      <top style="thin">
        <color rgb="FFD9E1F2"/>
      </top>
      <bottom style="thin">
        <color indexed="64"/>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D9E1F2"/>
      </top>
      <bottom/>
      <diagonal/>
    </border>
    <border>
      <left style="thin">
        <color indexed="64"/>
      </left>
      <right/>
      <top/>
      <bottom/>
      <diagonal/>
    </border>
    <border>
      <left/>
      <right style="thin">
        <color indexed="64"/>
      </right>
      <top style="thin">
        <color rgb="FFD9E1F2"/>
      </top>
      <bottom/>
      <diagonal/>
    </border>
    <border>
      <left/>
      <right style="thin">
        <color indexed="64"/>
      </right>
      <top/>
      <bottom/>
      <diagonal/>
    </border>
    <border>
      <left style="thin">
        <color indexed="64"/>
      </left>
      <right/>
      <top/>
      <bottom style="thin">
        <color rgb="FFD9E1F2"/>
      </bottom>
      <diagonal/>
    </border>
    <border>
      <left/>
      <right/>
      <top/>
      <bottom style="thin">
        <color rgb="FFD9E1F2"/>
      </bottom>
      <diagonal/>
    </border>
    <border>
      <left/>
      <right style="thin">
        <color indexed="64"/>
      </right>
      <top/>
      <bottom style="thin">
        <color rgb="FFD9E1F2"/>
      </bottom>
      <diagonal/>
    </border>
    <border>
      <left/>
      <right/>
      <top style="thin">
        <color rgb="FFB8C2CC"/>
      </top>
      <bottom/>
      <diagonal/>
    </border>
    <border>
      <left/>
      <right style="thin">
        <color indexed="64"/>
      </right>
      <top style="thin">
        <color rgb="FFB8C2CC"/>
      </top>
      <bottom/>
      <diagonal/>
    </border>
    <border>
      <left/>
      <right/>
      <top style="thin">
        <color rgb="FFB8C2CC"/>
      </top>
      <bottom style="thin">
        <color rgb="FFD9E1F2"/>
      </bottom>
      <diagonal/>
    </border>
    <border>
      <left/>
      <right style="thin">
        <color indexed="64"/>
      </right>
      <top style="thin">
        <color rgb="FFB8C2CC"/>
      </top>
      <bottom style="thin">
        <color rgb="FFD9E1F2"/>
      </bottom>
      <diagonal/>
    </border>
  </borders>
  <cellStyleXfs count="1">
    <xf numFmtId="0" fontId="0" fillId="0" borderId="0"/>
  </cellStyleXfs>
  <cellXfs count="8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5" fillId="0" borderId="2" applyAlignment="1" pivotButton="0" quotePrefix="0" xfId="0">
      <alignment vertical="top" wrapText="1"/>
    </xf>
    <xf numFmtId="0" fontId="4" fillId="2" borderId="0" applyAlignment="1" pivotButton="0" quotePrefix="0" xfId="0">
      <alignment horizontal="center" vertical="center" wrapText="1"/>
    </xf>
    <xf numFmtId="0" fontId="5" fillId="3" borderId="2" applyAlignment="1" pivotButton="0" quotePrefix="0" xfId="0">
      <alignment vertical="top" wrapText="1"/>
    </xf>
    <xf numFmtId="0" fontId="5" fillId="3" borderId="2" pivotButton="0" quotePrefix="0" xfId="0"/>
    <xf numFmtId="0" fontId="6" fillId="0" borderId="0" pivotButton="0" quotePrefix="0" xfId="0"/>
    <xf numFmtId="0" fontId="7"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9" fillId="0" borderId="0" pivotButton="0" quotePrefix="0" xfId="0"/>
    <xf numFmtId="0" fontId="13" fillId="2" borderId="0" pivotButton="0" quotePrefix="0" xfId="0"/>
    <xf numFmtId="164" fontId="6" fillId="0" borderId="0" pivotButton="0" quotePrefix="0" xfId="0"/>
    <xf numFmtId="164" fontId="11" fillId="0" borderId="0" pivotButton="0" quotePrefix="0" xfId="0"/>
    <xf numFmtId="0" fontId="14" fillId="0" borderId="0" pivotButton="0" quotePrefix="0" xfId="0"/>
    <xf numFmtId="0" fontId="15" fillId="3" borderId="1" applyAlignment="1" pivotButton="0" quotePrefix="0" xfId="0">
      <alignment horizontal="center" vertical="center"/>
    </xf>
    <xf numFmtId="0" fontId="13" fillId="2" borderId="0" applyAlignment="1" pivotButton="0" quotePrefix="0" xfId="0">
      <alignment horizontal="center" wrapText="1"/>
    </xf>
    <xf numFmtId="0" fontId="11" fillId="0" borderId="2" applyAlignment="1" pivotButton="0" quotePrefix="0" xfId="0">
      <alignment vertical="center"/>
    </xf>
    <xf numFmtId="0" fontId="6" fillId="0" borderId="2" applyAlignment="1" pivotButton="0" quotePrefix="0" xfId="0">
      <alignment vertical="center"/>
    </xf>
    <xf numFmtId="0" fontId="6" fillId="0" borderId="2" applyAlignment="1" pivotButton="0" quotePrefix="0" xfId="0">
      <alignment vertical="center" wrapText="1"/>
    </xf>
    <xf numFmtId="0" fontId="13" fillId="2" borderId="0" applyAlignment="1" pivotButton="0" quotePrefix="0" xfId="0">
      <alignment horizontal="center"/>
    </xf>
    <xf numFmtId="0" fontId="6" fillId="0" borderId="2" applyAlignment="1" pivotButton="0" quotePrefix="0" xfId="0">
      <alignment vertical="top" wrapText="1"/>
    </xf>
    <xf numFmtId="0" fontId="11" fillId="0" borderId="2" pivotButton="0" quotePrefix="0" xfId="0"/>
    <xf numFmtId="0" fontId="16" fillId="5" borderId="0" applyAlignment="1" pivotButton="0" quotePrefix="0" xfId="0">
      <alignment horizontal="center" vertical="center" wrapText="1"/>
    </xf>
    <xf numFmtId="0" fontId="6" fillId="3" borderId="2" applyAlignment="1" pivotButton="0" quotePrefix="0" xfId="0">
      <alignment vertical="top" wrapText="1"/>
    </xf>
    <xf numFmtId="15" fontId="6" fillId="3" borderId="2" applyAlignment="1" pivotButton="0" quotePrefix="0" xfId="0">
      <alignment vertical="top" wrapText="1"/>
    </xf>
    <xf numFmtId="0" fontId="7" fillId="0" borderId="0" applyAlignment="1" pivotButton="0" quotePrefix="0" xfId="0">
      <alignment horizontal="left" vertical="top"/>
    </xf>
    <xf numFmtId="0" fontId="6" fillId="0" borderId="3" applyAlignment="1" pivotButton="0" quotePrefix="0" xfId="0">
      <alignment horizontal="left" vertical="top" wrapText="1"/>
    </xf>
    <xf numFmtId="0" fontId="6" fillId="4" borderId="3" applyAlignment="1" pivotButton="0" quotePrefix="0" xfId="0">
      <alignment horizontal="left" vertical="top" wrapText="1"/>
    </xf>
    <xf numFmtId="0" fontId="6" fillId="3" borderId="3" applyAlignment="1" pivotButton="0" quotePrefix="0" xfId="0">
      <alignment horizontal="left" vertical="top"/>
    </xf>
    <xf numFmtId="0" fontId="6" fillId="0" borderId="3" applyAlignment="1" pivotButton="0" quotePrefix="0" xfId="0">
      <alignment horizontal="center" vertical="top"/>
    </xf>
    <xf numFmtId="0" fontId="16" fillId="5" borderId="3" applyAlignment="1" pivotButton="0" quotePrefix="0" xfId="0">
      <alignment horizontal="center" vertical="center" wrapText="1"/>
    </xf>
    <xf numFmtId="0" fontId="8" fillId="0" borderId="0" applyAlignment="1" pivotButton="0" quotePrefix="0" xfId="0">
      <alignment horizontal="center"/>
    </xf>
    <xf numFmtId="0" fontId="9" fillId="0" borderId="0" applyAlignment="1" pivotButton="0" quotePrefix="0" xfId="0">
      <alignment horizontal="center"/>
    </xf>
    <xf numFmtId="0" fontId="6" fillId="0" borderId="0" pivotButton="0" quotePrefix="0" xfId="0"/>
    <xf numFmtId="0" fontId="6" fillId="0" borderId="2" applyAlignment="1" pivotButton="0" quotePrefix="0" xfId="0">
      <alignment vertical="top" wrapText="1"/>
    </xf>
    <xf numFmtId="0" fontId="11" fillId="0" borderId="2" applyAlignment="1" pivotButton="0" quotePrefix="0" xfId="0">
      <alignment vertical="top" wrapText="1"/>
    </xf>
    <xf numFmtId="0" fontId="8" fillId="0" borderId="0" applyAlignment="1" pivotButton="0" quotePrefix="0" xfId="0">
      <alignment horizontal="center" vertical="top"/>
    </xf>
    <xf numFmtId="0" fontId="9" fillId="0" borderId="0" applyAlignment="1" pivotButton="0" quotePrefix="0" xfId="0">
      <alignment horizontal="center" vertical="top"/>
    </xf>
    <xf numFmtId="0" fontId="18" fillId="6" borderId="0" applyAlignment="1" pivotButton="0" quotePrefix="0" xfId="0">
      <alignment vertical="center"/>
    </xf>
    <xf numFmtId="0" fontId="19" fillId="0" borderId="0" pivotButton="0" quotePrefix="0" xfId="0"/>
    <xf numFmtId="0" fontId="20" fillId="7" borderId="0" applyAlignment="1" pivotButton="0" quotePrefix="0" xfId="0">
      <alignment vertical="center" wrapText="1"/>
    </xf>
    <xf numFmtId="0" fontId="17" fillId="8" borderId="0" applyAlignment="1" pivotButton="0" quotePrefix="0" xfId="0">
      <alignment horizontal="center"/>
    </xf>
    <xf numFmtId="0" fontId="21" fillId="9" borderId="0" applyAlignment="1" pivotButton="0" quotePrefix="0" xfId="0">
      <alignment horizontal="center" vertical="center"/>
    </xf>
    <xf numFmtId="0" fontId="17" fillId="8" borderId="0" applyAlignment="1" pivotButton="0" quotePrefix="0" xfId="0">
      <alignment horizontal="center"/>
    </xf>
    <xf numFmtId="0" fontId="17" fillId="10" borderId="0" pivotButton="0" quotePrefix="0" xfId="0"/>
    <xf numFmtId="0" fontId="17" fillId="11" borderId="4" applyAlignment="1" pivotButton="0" quotePrefix="0" xfId="0">
      <alignment horizontal="center" vertical="top" wrapText="1"/>
    </xf>
    <xf numFmtId="0" fontId="0" fillId="0" borderId="0" applyAlignment="1" pivotButton="0" quotePrefix="0" xfId="0">
      <alignment vertical="top"/>
    </xf>
    <xf numFmtId="0" fontId="0" fillId="0" borderId="5" applyAlignment="1" pivotButton="0" quotePrefix="0" xfId="0">
      <alignment vertical="top"/>
    </xf>
    <xf numFmtId="14" fontId="0" fillId="0" borderId="5" applyAlignment="1" pivotButton="0" quotePrefix="0" xfId="0">
      <alignment vertical="top"/>
    </xf>
    <xf numFmtId="0" fontId="0" fillId="0" borderId="6" applyAlignment="1" pivotButton="0" quotePrefix="0" xfId="0">
      <alignment vertical="top"/>
    </xf>
    <xf numFmtId="14" fontId="0" fillId="0" borderId="6" applyAlignment="1" pivotButton="0" quotePrefix="0" xfId="0">
      <alignment vertical="top"/>
    </xf>
    <xf numFmtId="0" fontId="17" fillId="10" borderId="0" applyAlignment="1" pivotButton="0" quotePrefix="0" xfId="0">
      <alignment vertical="top"/>
    </xf>
    <xf numFmtId="0" fontId="17" fillId="11" borderId="4" applyAlignment="1" pivotButton="0" quotePrefix="0" xfId="0">
      <alignment horizontal="center"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165" fontId="0" fillId="0" borderId="5" applyAlignment="1" pivotButton="0" quotePrefix="0" xfId="0">
      <alignment vertical="top"/>
    </xf>
    <xf numFmtId="165" fontId="0" fillId="0" borderId="6" applyAlignment="1" pivotButton="0" quotePrefix="0" xfId="0">
      <alignment vertical="top"/>
    </xf>
    <xf numFmtId="0" fontId="0" fillId="0" borderId="5" applyAlignment="1" pivotButton="0" quotePrefix="0" xfId="0">
      <alignment vertical="top" wrapText="1"/>
    </xf>
    <xf numFmtId="0" fontId="0" fillId="0" borderId="5" applyAlignment="1" pivotButton="0" quotePrefix="1" xfId="0">
      <alignment vertical="top" wrapText="1"/>
    </xf>
    <xf numFmtId="0" fontId="0" fillId="0" borderId="6"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horizontal="center" vertical="top"/>
    </xf>
    <xf numFmtId="0" fontId="0" fillId="0" borderId="5" applyAlignment="1" pivotButton="0" quotePrefix="0" xfId="0">
      <alignment horizontal="center" vertical="top" wrapText="1"/>
    </xf>
    <xf numFmtId="165" fontId="0" fillId="0" borderId="5" applyAlignment="1" pivotButton="0" quotePrefix="0" xfId="0">
      <alignment horizontal="center" vertical="top" wrapText="1"/>
    </xf>
    <xf numFmtId="0" fontId="0" fillId="0" borderId="6" applyAlignment="1" pivotButton="0" quotePrefix="0" xfId="0">
      <alignment horizontal="center" vertical="top" wrapText="1"/>
    </xf>
    <xf numFmtId="165" fontId="0" fillId="0" borderId="6" applyAlignment="1" pivotButton="0" quotePrefix="0" xfId="0">
      <alignment horizontal="center" vertical="top" wrapText="1"/>
    </xf>
    <xf numFmtId="0" fontId="0" fillId="0" borderId="9" pivotButton="0" quotePrefix="0" xfId="0"/>
    <xf numFmtId="0" fontId="22" fillId="12" borderId="2" applyAlignment="1" pivotButton="0" quotePrefix="0" xfId="0">
      <alignment vertical="top" wrapText="1"/>
    </xf>
    <xf numFmtId="0" fontId="23" fillId="13" borderId="2" applyAlignment="1" pivotButton="0" quotePrefix="0" xfId="0">
      <alignment vertical="top" wrapText="1"/>
    </xf>
    <xf numFmtId="0" fontId="24" fillId="14" borderId="0" pivotButton="0" quotePrefix="0" xfId="0"/>
    <xf numFmtId="0" fontId="22" fillId="12" borderId="0" pivotButton="0" quotePrefix="0" xfId="0"/>
    <xf numFmtId="0" fontId="0" fillId="0" borderId="0" applyAlignment="1" pivotButton="0" quotePrefix="0" xfId="0">
      <alignment vertical="top" wrapText="1"/>
    </xf>
    <xf numFmtId="0" fontId="23" fillId="13" borderId="0" pivotButton="0" quotePrefix="0" xfId="0"/>
    <xf numFmtId="0" fontId="0" fillId="0" borderId="19" pivotButton="0" quotePrefix="0" xfId="0"/>
    <xf numFmtId="0" fontId="0" fillId="0" borderId="20" pivotButton="0" quotePrefix="0" xfId="0"/>
    <xf numFmtId="0" fontId="0" fillId="0" borderId="10" pivotButton="0" quotePrefix="0" xfId="0"/>
    <xf numFmtId="0" fontId="0" fillId="0" borderId="12" pivotButton="0" quotePrefix="0" xfId="0"/>
    <xf numFmtId="0" fontId="0" fillId="0" borderId="11"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22" fillId="12" borderId="5" applyAlignment="1" pivotButton="0" quotePrefix="0" xfId="0">
      <alignment horizontal="center" vertical="top" wrapText="1"/>
    </xf>
    <xf numFmtId="0" fontId="23" fillId="13" borderId="5" applyAlignment="1" pivotButton="0" quotePrefix="0" xfId="0">
      <alignment horizontal="center" vertical="top" wrapText="1"/>
    </xf>
  </cellXfs>
  <cellStyles count="1">
    <cellStyle name="Normal" xfId="0" builtinId="0"/>
  </cellStyles>
  <dxfs count="77">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9C0006"/>
      </font>
      <fill>
        <patternFill patternType="solid">
          <fgColor indexed="64"/>
          <bgColor rgb="FFF4CCCC"/>
        </patternFill>
      </fill>
    </dxf>
    <dxf>
      <font>
        <b val="1"/>
        <color rgb="FF274E13"/>
      </font>
      <fill>
        <patternFill patternType="solid">
          <fgColor indexed="64"/>
          <bgColor rgb="FFD9EAD3"/>
        </patternFill>
      </fill>
    </dxf>
    <dxf>
      <font>
        <b val="1"/>
        <color rgb="FF7F6000"/>
      </font>
      <fill>
        <patternFill patternType="solid">
          <fgColor indexed="64"/>
          <bgColor rgb="FFFFF2CC"/>
        </patternFill>
      </fill>
    </dxf>
    <dxf>
      <font>
        <b val="1"/>
        <color rgb="FF9C0006"/>
      </font>
      <fill>
        <patternFill patternType="solid">
          <fgColor indexed="64"/>
          <bgColor rgb="FFF4CCCC"/>
        </patternFill>
      </fill>
    </dxf>
    <dxf>
      <fill>
        <patternFill>
          <bgColor rgb="FFF4B7B7"/>
        </patternFill>
      </fill>
    </dxf>
    <dxf>
      <fill>
        <patternFill>
          <bgColor rgb="FFC6E0B4"/>
        </patternFill>
      </fill>
    </dxf>
    <dxf>
      <fill>
        <patternFill>
          <bgColor rgb="FFFBD5A5"/>
        </patternFill>
      </fill>
    </dxf>
    <dxf>
      <fill>
        <patternFill>
          <bgColor rgb="FFF4B7B7"/>
        </patternFill>
      </fill>
    </dxf>
    <dxf>
      <fill>
        <patternFill>
          <bgColor rgb="FFC6E0B4"/>
        </patternFill>
      </fill>
    </dxf>
    <dxf>
      <fill>
        <patternFill>
          <bgColor rgb="FFFBD5A5"/>
        </patternFill>
      </fill>
    </dxf>
    <dxf>
      <fill>
        <patternFill>
          <bgColor rgb="FFC6E0B4"/>
        </patternFill>
      </fill>
    </dxf>
    <dxf>
      <font>
        <name val="Arial"/>
        <charset val="1"/>
        <b val="1"/>
        <sz val="10"/>
      </font>
      <fill>
        <patternFill>
          <bgColor rgb="FFF4B7B7"/>
        </patternFill>
      </fill>
    </dxf>
    <dxf>
      <fill>
        <patternFill>
          <bgColor rgb="FFC6E0B4"/>
        </patternFill>
      </fill>
    </dxf>
    <dxf>
      <fill>
        <patternFill>
          <bgColor rgb="FFF4B7B7"/>
        </patternFill>
      </fill>
    </dxf>
    <dxf>
      <fill>
        <patternFill>
          <bgColor rgb="FFF4B7B7"/>
        </patternFill>
      </fill>
    </dxf>
    <dxf>
      <fill>
        <patternFill>
          <bgColor rgb="FFC6E0B4"/>
        </patternFill>
      </fill>
    </dxf>
    <dxf>
      <fill>
        <patternFill>
          <bgColor rgb="FFF4B7B7"/>
        </patternFill>
      </fill>
    </dxf>
    <dxf>
      <fill>
        <patternFill>
          <bgColor rgb="FFF4B7B7"/>
        </patternFill>
      </fill>
    </dxf>
    <dxf>
      <fill>
        <patternFill>
          <bgColor rgb="FFD9EAD3"/>
        </patternFill>
      </fill>
    </dxf>
    <dxf>
      <fill>
        <patternFill>
          <bgColor rgb="FFC6E0B4"/>
        </patternFill>
      </fill>
    </dxf>
    <dxf>
      <fill>
        <patternFill>
          <bgColor rgb="FFD9EAD3"/>
        </patternFill>
      </fill>
    </dxf>
    <dxf>
      <fill>
        <patternFill>
          <bgColor rgb="FFC6E0B4"/>
        </patternFill>
      </fill>
    </dxf>
    <dxf>
      <fill>
        <patternFill>
          <bgColor rgb="FFF4B7B7"/>
        </patternFill>
      </fill>
    </dxf>
    <dxf>
      <fill>
        <patternFill>
          <bgColor rgb="FFFFF2CC"/>
        </patternFill>
      </fill>
    </dxf>
    <dxf>
      <fill>
        <patternFill>
          <bgColor rgb="FFFBD5A5"/>
        </patternFill>
      </fill>
    </dxf>
    <dxf>
      <font>
        <name val="Arial"/>
        <charset val="1"/>
        <b val="1"/>
        <sz val="10"/>
      </font>
      <fill>
        <patternFill>
          <bgColor rgb="FFF4B7B7"/>
        </patternFill>
      </fill>
    </dxf>
    <dxf>
      <fill>
        <patternFill>
          <bgColor rgb="FFD9EAD3"/>
        </patternFill>
      </fill>
    </dxf>
    <dxf>
      <fill>
        <patternFill>
          <bgColor rgb="FFC6E0B4"/>
        </patternFill>
      </fill>
    </dxf>
    <dxf>
      <fill>
        <patternFill>
          <bgColor rgb="FFF4B7B7"/>
        </patternFill>
      </fill>
    </dxf>
    <dxf>
      <fill>
        <patternFill>
          <bgColor rgb="FFFFF2CC"/>
        </patternFill>
      </fill>
    </dxf>
    <dxf>
      <fill>
        <patternFill>
          <bgColor rgb="FFFBD5A5"/>
        </patternFill>
      </fill>
    </dxf>
    <dxf>
      <font>
        <name val="Arial"/>
        <charset val="1"/>
        <b val="1"/>
        <sz val="10"/>
      </font>
      <fill>
        <patternFill>
          <bgColor rgb="FFF4B7B7"/>
        </patternFill>
      </fill>
    </dxf>
    <dxf>
      <fill>
        <patternFill>
          <bgColor rgb="FFF4B7B7"/>
        </patternFill>
      </fill>
    </dxf>
    <dxf>
      <fill>
        <patternFill>
          <bgColor rgb="FFFFF2CC"/>
        </patternFill>
      </fill>
    </dxf>
    <dxf>
      <fill>
        <patternFill>
          <bgColor rgb="FFFBD5A5"/>
        </patternFill>
      </fill>
    </dxf>
    <dxf>
      <font>
        <name val="Arial"/>
        <charset val="1"/>
        <b val="1"/>
        <sz val="10"/>
      </font>
      <fill>
        <patternFill>
          <bgColor rgb="FFF4B7B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C6E0B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4B7B7"/>
      <rgbColor rgb="FFCC99FF"/>
      <rgbColor rgb="FFFBD5A5"/>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ID" sz="1800" b="1" strike="noStrike" spc="-1">
                <a:solidFill>
                  <a:srgbClr val="000000"/>
                </a:solidFill>
                <a:latin typeface="Calibri"/>
              </a:rPr>
              <a:t>Findings by QC area</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tx>
            <strRef>
              <f>'00_Summary'!$B$20</f>
              <strCache>
                <ptCount val="1"/>
                <pt idx="0">
                  <v>Total</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endParaRPr lang="en-US"/>
              </a:p>
            </txPr>
            <dLblPos val="outEnd"/>
            <showLegendKey val="0"/>
            <showVal val="0"/>
            <showCatName val="0"/>
            <showSerName val="0"/>
            <showPercent val="0"/>
            <showBubbleSize val="1"/>
            <showLeaderLines val="0"/>
          </dLbls>
          <cat>
            <strRef>
              <f>'00_Summary'!$A$21:$A$26</f>
              <strCache>
                <ptCount val="6"/>
                <pt idx="0">
                  <v>a. Formula consistency</v>
                </pt>
                <pt idx="1">
                  <v>b. Chart accuracy</v>
                </pt>
                <pt idx="2">
                  <v>c. Button / menu / function</v>
                </pt>
                <pt idx="3">
                  <v>d. Prompt &amp; response</v>
                </pt>
                <pt idx="4">
                  <v>f. Dataset</v>
                </pt>
                <pt idx="5">
                  <v>g. Filters</v>
                </pt>
              </strCache>
            </strRef>
          </cat>
          <val>
            <numRef>
              <f>'00_Summary'!$B$21:$B$26</f>
              <numCache>
                <formatCode>General</formatCode>
                <ptCount val="6"/>
                <pt idx="0">
                  <v>27</v>
                </pt>
                <pt idx="1">
                  <v>8</v>
                </pt>
                <pt idx="2">
                  <v>16</v>
                </pt>
                <pt idx="3">
                  <v>9</v>
                </pt>
                <pt idx="4">
                  <v>1</v>
                </pt>
                <pt idx="5">
                  <v>1</v>
                </pt>
              </numCache>
            </numRef>
          </val>
        </ser>
        <dLbls>
          <showLegendKey val="0"/>
          <showVal val="0"/>
          <showCatName val="0"/>
          <showSerName val="0"/>
          <showPercent val="0"/>
          <showBubbleSize val="0"/>
        </dLbls>
        <gapWidth val="150"/>
        <axId val="76517691"/>
        <axId val="80345453"/>
      </barChart>
      <catAx>
        <axId val="76517691"/>
        <scaling>
          <orientation val="minMax"/>
        </scaling>
        <delete val="0"/>
        <axPos val="l"/>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80345453"/>
        <crosses val="autoZero"/>
        <auto val="1"/>
        <lblAlgn val="ctr"/>
        <lblOffset val="100"/>
        <noMultiLvlLbl val="0"/>
      </catAx>
      <valAx>
        <axId val="80345453"/>
        <scaling>
          <orientation val="minMax"/>
        </scaling>
        <delete val="0"/>
        <axPos val="b"/>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en-US"/>
          </a:p>
        </txPr>
        <crossAx val="7651769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6</col>
      <colOff>0</colOff>
      <row>16</row>
      <rowOff>186120</rowOff>
    </from>
    <to>
      <col>10</col>
      <colOff>307440</colOff>
      <row>31</row>
      <rowOff>25920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50"/>
  <sheetViews>
    <sheetView showGridLines="0" zoomScale="57" zoomScaleNormal="100" workbookViewId="0">
      <pane ySplit="8" topLeftCell="A9" activePane="bottomLeft" state="frozen"/>
      <selection pane="bottomLeft" activeCell="C20" sqref="C20"/>
    </sheetView>
  </sheetViews>
  <sheetFormatPr baseColWidth="8" defaultColWidth="8.7265625" defaultRowHeight="14.5"/>
  <cols>
    <col width="34" customWidth="1" style="10" min="1" max="1"/>
    <col width="12" customWidth="1" style="10" min="2" max="5"/>
    <col width="4" customWidth="1" style="10" min="6" max="6"/>
    <col width="26" customWidth="1" style="10" min="7" max="7"/>
    <col width="12" customWidth="1" style="10" min="8" max="10"/>
    <col width="8.7265625" customWidth="1" style="10" min="11" max="16384"/>
  </cols>
  <sheetData>
    <row r="1" ht="18" customHeight="1">
      <c r="A1" s="36" t="inlineStr">
        <is>
          <t>AI Finance Forum mockup - QC summary</t>
        </is>
      </c>
    </row>
    <row r="2" ht="15" customHeight="1">
      <c r="A2" s="37" t="inlineStr">
        <is>
          <t>Reviewed 28 July 2026 against the live API. 47 findings raised, 62 calculations reconciled, 31 manual tests to run.</t>
        </is>
      </c>
    </row>
    <row r="3" ht="15" customHeight="1">
      <c r="A3" s="37" t="inlineStr">
        <is>
          <t>All counts below recalculate from 01_Findings. Update that sheet and this page follows.</t>
        </is>
      </c>
    </row>
    <row r="5" ht="15" customHeight="1">
      <c r="A5" s="11" t="inlineStr">
        <is>
          <t>Headline</t>
        </is>
      </c>
    </row>
    <row r="6" ht="15" customHeight="1">
      <c r="A6" s="12" t="inlineStr">
        <is>
          <t>Total findings</t>
        </is>
      </c>
      <c r="D6" s="12" t="inlineStr">
        <is>
          <t>Demo blockers</t>
        </is>
      </c>
      <c r="G6" s="12" t="inlineStr">
        <is>
          <t>Critical</t>
        </is>
      </c>
      <c r="J6" s="12" t="inlineStr">
        <is>
          <t>Still open</t>
        </is>
      </c>
    </row>
    <row r="7" ht="26.25" customHeight="1">
      <c r="A7" s="13">
        <f>COUNTA('01_Findings'!$F$5:$F$66)</f>
        <v/>
      </c>
      <c r="D7" s="13">
        <f>COUNTIF('01_Findings'!$G$5:$G$66,"Yes")</f>
        <v/>
      </c>
      <c r="G7" s="13">
        <f>COUNTIF('01_Findings'!$F$5:$F$66,"Critical")</f>
        <v/>
      </c>
      <c r="J7" s="13">
        <f>COUNTIF('01_Findings'!$N$5:$N$66,"Open")</f>
        <v/>
      </c>
    </row>
    <row r="8" ht="15" customHeight="1">
      <c r="A8" s="14" t="inlineStr">
        <is>
          <t>of 47</t>
        </is>
      </c>
      <c r="D8" s="14" t="inlineStr">
        <is>
          <t>of 47</t>
        </is>
      </c>
      <c r="G8" s="14" t="inlineStr">
        <is>
          <t>of 47</t>
        </is>
      </c>
      <c r="J8" s="14" t="inlineStr">
        <is>
          <t>of 47</t>
        </is>
      </c>
    </row>
    <row r="10" ht="15" customHeight="1">
      <c r="A10" s="11" t="inlineStr">
        <is>
          <t>By severity</t>
        </is>
      </c>
      <c r="G10" s="11" t="inlineStr">
        <is>
          <t>By agent</t>
        </is>
      </c>
    </row>
    <row r="11" ht="15" customHeight="1">
      <c r="A11" s="15" t="inlineStr">
        <is>
          <t>Severity</t>
        </is>
      </c>
      <c r="B11" s="15" t="inlineStr">
        <is>
          <t>Total</t>
        </is>
      </c>
      <c r="C11" s="15" t="inlineStr">
        <is>
          <t>Blockers</t>
        </is>
      </c>
      <c r="D11" s="15" t="inlineStr">
        <is>
          <t>Open</t>
        </is>
      </c>
      <c r="E11" s="15" t="inlineStr">
        <is>
          <t>Closed</t>
        </is>
      </c>
      <c r="G11" s="15" t="inlineStr">
        <is>
          <t>Agent</t>
        </is>
      </c>
      <c r="H11" s="15" t="inlineStr">
        <is>
          <t>Total</t>
        </is>
      </c>
      <c r="I11" s="15" t="inlineStr">
        <is>
          <t>Blockers</t>
        </is>
      </c>
      <c r="J11" s="15" t="inlineStr">
        <is>
          <t>Open</t>
        </is>
      </c>
    </row>
    <row r="12" ht="15" customHeight="1">
      <c r="A12" s="12" t="inlineStr">
        <is>
          <t>Critical</t>
        </is>
      </c>
      <c r="B12" s="38">
        <f>COUNTIF('01_Findings'!$F$5:$F$66,A12)</f>
        <v/>
      </c>
      <c r="C12" s="38">
        <f>COUNTIFS('01_Findings'!$F$5:$F$66,A12,'01_Findings'!$G$5:$G$66,"Yes")</f>
        <v/>
      </c>
      <c r="D12" s="38">
        <f>COUNTIFS('01_Findings'!$F$5:$F$66,A12,'01_Findings'!$N$5:$N$66,"Open")</f>
        <v/>
      </c>
      <c r="E12" s="38">
        <f>COUNTIFS('01_Findings'!$F$5:$F$66,A12,'01_Findings'!$N$5:$N$66,"Closed")</f>
        <v/>
      </c>
      <c r="G12" s="38" t="inlineStr">
        <is>
          <t>Finance</t>
        </is>
      </c>
      <c r="H12" s="38">
        <f>COUNTIF('01_Findings'!$C$5:$C$66,G12)</f>
        <v/>
      </c>
      <c r="I12" s="38">
        <f>COUNTIFS('01_Findings'!$C$5:$C$66,G12,'01_Findings'!$G$5:$G$66,"Yes")</f>
        <v/>
      </c>
      <c r="J12" s="38">
        <f>COUNTIFS('01_Findings'!$C$5:$C$66,G12,'01_Findings'!$N$5:$N$66,"Open")</f>
        <v/>
      </c>
    </row>
    <row r="13" ht="15" customHeight="1">
      <c r="A13" s="12" t="inlineStr">
        <is>
          <t>High</t>
        </is>
      </c>
      <c r="B13" s="38">
        <f>COUNTIF('01_Findings'!$F$5:$F$66,A13)</f>
        <v/>
      </c>
      <c r="C13" s="38">
        <f>COUNTIFS('01_Findings'!$F$5:$F$66,A13,'01_Findings'!$G$5:$G$66,"Yes")</f>
        <v/>
      </c>
      <c r="D13" s="38">
        <f>COUNTIFS('01_Findings'!$F$5:$F$66,A13,'01_Findings'!$N$5:$N$66,"Open")</f>
        <v/>
      </c>
      <c r="E13" s="38">
        <f>COUNTIFS('01_Findings'!$F$5:$F$66,A13,'01_Findings'!$N$5:$N$66,"Closed")</f>
        <v/>
      </c>
      <c r="G13" s="38" t="inlineStr">
        <is>
          <t>Collection</t>
        </is>
      </c>
      <c r="H13" s="38">
        <f>COUNTIF('01_Findings'!$C$5:$C$66,G13)</f>
        <v/>
      </c>
      <c r="I13" s="38">
        <f>COUNTIFS('01_Findings'!$C$5:$C$66,G13,'01_Findings'!$G$5:$G$66,"Yes")</f>
        <v/>
      </c>
      <c r="J13" s="38">
        <f>COUNTIFS('01_Findings'!$C$5:$C$66,G13,'01_Findings'!$N$5:$N$66,"Open")</f>
        <v/>
      </c>
    </row>
    <row r="14" ht="15" customHeight="1">
      <c r="A14" s="12" t="inlineStr">
        <is>
          <t>Medium</t>
        </is>
      </c>
      <c r="B14" s="38">
        <f>COUNTIF('01_Findings'!$F$5:$F$66,A14)</f>
        <v/>
      </c>
      <c r="C14" s="38">
        <f>COUNTIFS('01_Findings'!$F$5:$F$66,A14,'01_Findings'!$G$5:$G$66,"Yes")</f>
        <v/>
      </c>
      <c r="D14" s="38">
        <f>COUNTIFS('01_Findings'!$F$5:$F$66,A14,'01_Findings'!$N$5:$N$66,"Open")</f>
        <v/>
      </c>
      <c r="E14" s="38">
        <f>COUNTIFS('01_Findings'!$F$5:$F$66,A14,'01_Findings'!$N$5:$N$66,"Closed")</f>
        <v/>
      </c>
      <c r="G14" s="38" t="inlineStr">
        <is>
          <t>Leakage</t>
        </is>
      </c>
      <c r="H14" s="38">
        <f>COUNTIF('01_Findings'!$C$5:$C$66,G14)</f>
        <v/>
      </c>
      <c r="I14" s="38">
        <f>COUNTIFS('01_Findings'!$C$5:$C$66,G14,'01_Findings'!$G$5:$G$66,"Yes")</f>
        <v/>
      </c>
      <c r="J14" s="38">
        <f>COUNTIFS('01_Findings'!$C$5:$C$66,G14,'01_Findings'!$N$5:$N$66,"Open")</f>
        <v/>
      </c>
    </row>
    <row r="15" ht="15" customHeight="1">
      <c r="A15" s="12" t="inlineStr">
        <is>
          <t>Low</t>
        </is>
      </c>
      <c r="B15" s="38">
        <f>COUNTIF('01_Findings'!$F$5:$F$66,A15)</f>
        <v/>
      </c>
      <c r="C15" s="38">
        <f>COUNTIFS('01_Findings'!$F$5:$F$66,A15,'01_Findings'!$G$5:$G$66,"Yes")</f>
        <v/>
      </c>
      <c r="D15" s="38">
        <f>COUNTIFS('01_Findings'!$F$5:$F$66,A15,'01_Findings'!$N$5:$N$66,"Open")</f>
        <v/>
      </c>
      <c r="E15" s="38">
        <f>COUNTIFS('01_Findings'!$F$5:$F$66,A15,'01_Findings'!$N$5:$N$66,"Closed")</f>
        <v/>
      </c>
      <c r="G15" s="38" t="inlineStr">
        <is>
          <t>Treasury</t>
        </is>
      </c>
      <c r="H15" s="38">
        <f>COUNTIF('01_Findings'!$C$5:$C$66,G15)</f>
        <v/>
      </c>
      <c r="I15" s="38">
        <f>COUNTIFS('01_Findings'!$C$5:$C$66,G15,'01_Findings'!$G$5:$G$66,"Yes")</f>
        <v/>
      </c>
      <c r="J15" s="38">
        <f>COUNTIFS('01_Findings'!$C$5:$C$66,G15,'01_Findings'!$N$5:$N$66,"Open")</f>
        <v/>
      </c>
    </row>
    <row r="16" ht="15" customHeight="1">
      <c r="A16" s="12" t="inlineStr">
        <is>
          <t>Total</t>
        </is>
      </c>
      <c r="B16" s="12">
        <f>SUM(B12:B15)</f>
        <v/>
      </c>
      <c r="C16" s="12">
        <f>SUM(C12:C15)</f>
        <v/>
      </c>
      <c r="D16" s="12">
        <f>SUM(D12:D15)</f>
        <v/>
      </c>
      <c r="E16" s="12">
        <f>SUM(E12:E15)</f>
        <v/>
      </c>
      <c r="G16" s="38" t="inlineStr">
        <is>
          <t>All</t>
        </is>
      </c>
      <c r="H16" s="38">
        <f>COUNTIF('01_Findings'!$C$5:$C$66,G16)</f>
        <v/>
      </c>
      <c r="I16" s="38">
        <f>COUNTIFS('01_Findings'!$C$5:$C$66,G16,'01_Findings'!$G$5:$G$66,"Yes")</f>
        <v/>
      </c>
      <c r="J16" s="38">
        <f>COUNTIFS('01_Findings'!$C$5:$C$66,G16,'01_Findings'!$N$5:$N$66,"Open")</f>
        <v/>
      </c>
    </row>
    <row r="17" ht="15" customHeight="1">
      <c r="G17" s="38" t="inlineStr">
        <is>
          <t>Finance + Collection</t>
        </is>
      </c>
      <c r="H17" s="38">
        <f>COUNTIF('01_Findings'!$C$5:$C$66,G17)</f>
        <v/>
      </c>
      <c r="I17" s="38">
        <f>COUNTIFS('01_Findings'!$C$5:$C$66,G17,'01_Findings'!$G$5:$G$66,"Yes")</f>
        <v/>
      </c>
      <c r="J17" s="38">
        <f>COUNTIFS('01_Findings'!$C$5:$C$66,G17,'01_Findings'!$N$5:$N$66,"Open")</f>
        <v/>
      </c>
    </row>
    <row r="18" ht="15" customHeight="1">
      <c r="G18" s="38" t="inlineStr">
        <is>
          <t>Collection + Treasury</t>
        </is>
      </c>
      <c r="H18" s="38">
        <f>COUNTIF('01_Findings'!$C$5:$C$66,G18)</f>
        <v/>
      </c>
      <c r="I18" s="38">
        <f>COUNTIFS('01_Findings'!$C$5:$C$66,G18,'01_Findings'!$G$5:$G$66,"Yes")</f>
        <v/>
      </c>
      <c r="J18" s="38">
        <f>COUNTIFS('01_Findings'!$C$5:$C$66,G18,'01_Findings'!$N$5:$N$66,"Open")</f>
        <v/>
      </c>
    </row>
    <row r="19" ht="15" customHeight="1">
      <c r="A19" s="11" t="inlineStr">
        <is>
          <t>By QC area from the brief</t>
        </is>
      </c>
    </row>
    <row r="20" ht="15" customHeight="1">
      <c r="A20" s="15" t="inlineStr">
        <is>
          <t>QC area</t>
        </is>
      </c>
      <c r="B20" s="15" t="inlineStr">
        <is>
          <t>Total</t>
        </is>
      </c>
      <c r="C20" s="15" t="inlineStr">
        <is>
          <t>Blockers</t>
        </is>
      </c>
      <c r="D20" s="15" t="inlineStr">
        <is>
          <t>Open</t>
        </is>
      </c>
    </row>
    <row r="21" ht="15" customHeight="1">
      <c r="A21" s="38" t="inlineStr">
        <is>
          <t>a. Formula consistency</t>
        </is>
      </c>
      <c r="B21" s="38">
        <f>COUNTIF('01_Findings'!$D$5:$D$66,A21)</f>
        <v/>
      </c>
      <c r="C21" s="38">
        <f>COUNTIFS('01_Findings'!$D$5:$D$66,A21,'01_Findings'!$G$5:$G$66,"Yes")</f>
        <v/>
      </c>
      <c r="D21" s="38">
        <f>COUNTIFS('01_Findings'!$D$5:$D$66,A21,'01_Findings'!$N$5:$N$66,"Open")</f>
        <v/>
      </c>
    </row>
    <row r="22" ht="15" customHeight="1">
      <c r="A22" s="38" t="inlineStr">
        <is>
          <t>b. Chart accuracy</t>
        </is>
      </c>
      <c r="B22" s="38">
        <f>COUNTIF('01_Findings'!$D$5:$D$66,A22)</f>
        <v/>
      </c>
      <c r="C22" s="38">
        <f>COUNTIFS('01_Findings'!$D$5:$D$66,A22,'01_Findings'!$G$5:$G$66,"Yes")</f>
        <v/>
      </c>
      <c r="D22" s="38">
        <f>COUNTIFS('01_Findings'!$D$5:$D$66,A22,'01_Findings'!$N$5:$N$66,"Open")</f>
        <v/>
      </c>
    </row>
    <row r="23" ht="15" customHeight="1">
      <c r="A23" s="38" t="inlineStr">
        <is>
          <t>c. Button / menu / function</t>
        </is>
      </c>
      <c r="B23" s="38">
        <f>COUNTIF('01_Findings'!$D$5:$D$66,A23)</f>
        <v/>
      </c>
      <c r="C23" s="38">
        <f>COUNTIFS('01_Findings'!$D$5:$D$66,A23,'01_Findings'!$G$5:$G$66,"Yes")</f>
        <v/>
      </c>
      <c r="D23" s="38">
        <f>COUNTIFS('01_Findings'!$D$5:$D$66,A23,'01_Findings'!$N$5:$N$66,"Open")</f>
        <v/>
      </c>
    </row>
    <row r="24" ht="15" customHeight="1">
      <c r="A24" s="38" t="inlineStr">
        <is>
          <t>d. Prompt &amp; response</t>
        </is>
      </c>
      <c r="B24" s="38">
        <f>COUNTIF('01_Findings'!$D$5:$D$66,A24)</f>
        <v/>
      </c>
      <c r="C24" s="38">
        <f>COUNTIFS('01_Findings'!$D$5:$D$66,A24,'01_Findings'!$G$5:$G$66,"Yes")</f>
        <v/>
      </c>
      <c r="D24" s="38">
        <f>COUNTIFS('01_Findings'!$D$5:$D$66,A24,'01_Findings'!$N$5:$N$66,"Open")</f>
        <v/>
      </c>
    </row>
    <row r="25" ht="15" customHeight="1">
      <c r="A25" s="38" t="inlineStr">
        <is>
          <t>f. Dataset</t>
        </is>
      </c>
      <c r="B25" s="38">
        <f>COUNTIF('01_Findings'!$D$5:$D$66,A25)</f>
        <v/>
      </c>
      <c r="C25" s="38">
        <f>COUNTIFS('01_Findings'!$D$5:$D$66,A25,'01_Findings'!$G$5:$G$66,"Yes")</f>
        <v/>
      </c>
      <c r="D25" s="38">
        <f>COUNTIFS('01_Findings'!$D$5:$D$66,A25,'01_Findings'!$N$5:$N$66,"Open")</f>
        <v/>
      </c>
    </row>
    <row r="26" ht="15" customHeight="1">
      <c r="A26" s="38" t="inlineStr">
        <is>
          <t>g. Filters</t>
        </is>
      </c>
      <c r="B26" s="38">
        <f>COUNTIF('01_Findings'!$D$5:$D$66,A26)</f>
        <v/>
      </c>
      <c r="C26" s="38">
        <f>COUNTIFS('01_Findings'!$D$5:$D$66,A26,'01_Findings'!$G$5:$G$66,"Yes")</f>
        <v/>
      </c>
      <c r="D26" s="38">
        <f>COUNTIFS('01_Findings'!$D$5:$D$66,A26,'01_Findings'!$N$5:$N$66,"Open")</f>
        <v/>
      </c>
    </row>
    <row r="29" ht="15" customHeight="1">
      <c r="A29" s="11" t="inlineStr">
        <is>
          <t>Progress</t>
        </is>
      </c>
    </row>
    <row r="30" ht="15" customHeight="1">
      <c r="A30" s="15" t="inlineStr">
        <is>
          <t>Status</t>
        </is>
      </c>
      <c r="B30" s="15" t="inlineStr">
        <is>
          <t>Count</t>
        </is>
      </c>
      <c r="C30" s="15" t="inlineStr">
        <is>
          <t>% of all</t>
        </is>
      </c>
    </row>
    <row r="31" ht="15" customHeight="1">
      <c r="A31" s="38" t="inlineStr">
        <is>
          <t>Terbuka</t>
        </is>
      </c>
      <c r="B31" s="38">
        <f>COUNTIF('01B_Findings_ID'!$N$5:$N$66,A31)</f>
        <v/>
      </c>
      <c r="C31" s="16">
        <f>IFERROR(B31/COUNTA('01_Findings'!$F$5:$F$66),0)</f>
        <v/>
      </c>
    </row>
    <row r="32" ht="15" customHeight="1">
      <c r="A32" s="38" t="inlineStr">
        <is>
          <t>Sedang dikerjakan</t>
        </is>
      </c>
      <c r="B32" s="38">
        <f>COUNTIF('01B_Findings_ID'!$N$5:$N$66,A32)</f>
        <v/>
      </c>
      <c r="C32" s="16">
        <f>IFERROR(B32/COUNTA('01_Findings'!$F$5:$F$66),0)</f>
        <v/>
      </c>
    </row>
    <row r="33" ht="15" customHeight="1">
      <c r="A33" s="38" t="inlineStr">
        <is>
          <t>Sudah diperbaiki - menunggu uji ulang</t>
        </is>
      </c>
      <c r="B33" s="38">
        <f>COUNTIF('01B_Findings_ID'!$N$5:$N$66,A33)</f>
        <v/>
      </c>
      <c r="C33" s="16">
        <f>IFERROR(B33/COUNTA('01_Findings'!$F$5:$F$66),0)</f>
        <v/>
      </c>
    </row>
    <row r="34" ht="15" customHeight="1">
      <c r="A34" s="38" t="inlineStr">
        <is>
          <t>Uji ulang lulus</t>
        </is>
      </c>
      <c r="B34" s="38">
        <f>COUNTIF('01B_Findings_ID'!$N$5:$N$66,A34)</f>
        <v/>
      </c>
      <c r="C34" s="16">
        <f>IFERROR(B34/COUNTA('01_Findings'!$F$5:$F$66),0)</f>
        <v/>
      </c>
    </row>
    <row r="35" ht="15" customHeight="1">
      <c r="A35" s="38" t="inlineStr">
        <is>
          <t>Selesai</t>
        </is>
      </c>
      <c r="B35" s="38">
        <f>COUNTIF('01B_Findings_ID'!$N$5:$N$66,A35)</f>
        <v/>
      </c>
      <c r="C35" s="16">
        <f>IFERROR(B35/COUNTA('01_Findings'!$F$5:$F$66),0)</f>
        <v/>
      </c>
    </row>
    <row r="36" ht="15" customHeight="1">
      <c r="A36" s="38" t="inlineStr">
        <is>
          <t>Ditunda</t>
        </is>
      </c>
      <c r="B36" s="38">
        <f>COUNTIF('01B_Findings_ID'!$N$5:$N$66,A36)</f>
        <v/>
      </c>
      <c r="C36" s="16">
        <f>IFERROR(B36/COUNTA('01_Findings'!$F$5:$F$66),0)</f>
        <v/>
      </c>
    </row>
    <row r="37" ht="15" customHeight="1">
      <c r="A37" s="38" t="inlineStr">
        <is>
          <t>Bukan cacat</t>
        </is>
      </c>
      <c r="B37" s="38">
        <f>COUNTIF('01B_Findings_ID'!$N$5:$N$66,A37)</f>
        <v/>
      </c>
      <c r="C37" s="16">
        <f>IFERROR(B37/COUNTA('01_Findings'!$F$5:$F$66),0)</f>
        <v/>
      </c>
    </row>
    <row r="38" ht="15" customHeight="1">
      <c r="A38" s="12" t="inlineStr">
        <is>
          <t>Blockers cleared</t>
        </is>
      </c>
      <c r="B38" s="12">
        <f>COUNTIFS('01B_Findings_ID'!$G$5:$G$66,"Ya",'01B_Findings_ID'!$N$5:$N$66,"Selesai")+COUNTIFS('01B_Findings_ID'!$G$5:$G$66,"Ya",'01B_Findings_ID'!$N$5:$N$66,"Uji ulang lulus")</f>
        <v/>
      </c>
      <c r="C38" s="17">
        <f>IFERROR(B38/COUNTIF('01_Findings'!$G$5:$G$66,"Yes"),0)</f>
        <v/>
      </c>
    </row>
    <row r="39" ht="15" customHeight="1">
      <c r="A39" s="14" t="inlineStr">
        <is>
          <t>Demo ready when this reaches 100%</t>
        </is>
      </c>
    </row>
    <row r="42" ht="15" customHeight="1">
      <c r="A42" s="11" t="inlineStr">
        <is>
          <t>How to use this workbook</t>
        </is>
      </c>
    </row>
    <row r="43" ht="15" customHeight="1">
      <c r="A43" s="38" t="inlineStr">
        <is>
          <t>01_Findings   every defect, with evidence, expected behaviour, likely root cause, owner, target date and status. Yellow columns are QC Tester result to fill in.</t>
        </is>
      </c>
    </row>
    <row r="44" ht="15" customHeight="1">
      <c r="A44" s="38" t="inlineStr">
        <is>
          <t>02_Manual_Test_Checklist   31 tests from outside the app. Buttons, menus, sliders, chat and stability. Run these before the event.</t>
        </is>
      </c>
    </row>
    <row r="45" ht="15" customHeight="1">
      <c r="A45" s="38" t="inlineStr">
        <is>
          <t>03_Formula_Checks   every calculation that reconciled, including the ones that PASS or FAIL.</t>
        </is>
      </c>
    </row>
    <row r="46" ht="15" customHeight="1">
      <c r="A46" s="38" t="inlineStr">
        <is>
          <t>04_Dataset_Requirements   the client's data volumes against what the mockup has, and where the replacement sits.</t>
        </is>
      </c>
    </row>
    <row r="47" ht="15" customHeight="1">
      <c r="A47" s="38" t="inlineStr">
        <is>
          <t>05_Filter_Requirements   the 22 filters the app needs. None currently exist.</t>
        </is>
      </c>
    </row>
    <row r="48" ht="15" customHeight="1">
      <c r="A48" s="38" t="inlineStr">
        <is>
          <t>06_Demo_Readiness_Gate   the go / no-go list. Nothing gets recorded until the 'Must clear' rows are done.</t>
        </is>
      </c>
    </row>
    <row r="49" ht="15" customHeight="1">
      <c r="A49" s="38" t="n"/>
    </row>
    <row r="50" ht="15" customHeight="1">
      <c r="A50" s="38" t="inlineStr">
        <is>
          <t>This review was done through the read-only API. Anything behind a button click, a slider or the chat box is untested and sits in sheet 02.</t>
        </is>
      </c>
    </row>
  </sheetData>
  <mergeCells count="11">
    <mergeCell ref="A44:J44"/>
    <mergeCell ref="A47:J47"/>
    <mergeCell ref="A45:J45"/>
    <mergeCell ref="A46:J46"/>
    <mergeCell ref="A3:K3"/>
    <mergeCell ref="A2:K2"/>
    <mergeCell ref="A50:J50"/>
    <mergeCell ref="A48:J48"/>
    <mergeCell ref="A43:J43"/>
    <mergeCell ref="A1:K1"/>
    <mergeCell ref="A49:J49"/>
  </mergeCell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67"/>
  <sheetViews>
    <sheetView showGridLines="0" zoomScale="124" zoomScaleNormal="100" workbookViewId="0">
      <pane ySplit="5" topLeftCell="A7" activePane="bottomLeft" state="frozen"/>
      <selection pane="bottomLeft" activeCell="C22" sqref="C22"/>
    </sheetView>
  </sheetViews>
  <sheetFormatPr baseColWidth="8" defaultColWidth="8.7265625" defaultRowHeight="14.5"/>
  <cols>
    <col width="26" customWidth="1" style="10" min="1" max="1"/>
    <col width="56" customWidth="1" style="10" min="2" max="3"/>
    <col width="3" customWidth="1" style="10" min="4" max="4"/>
    <col width="10" customWidth="1" style="10" min="5" max="5"/>
    <col width="11" customWidth="1" style="10" min="6" max="6"/>
    <col width="10" customWidth="1" style="10" min="7" max="7"/>
    <col width="18" customWidth="1" style="10" min="8" max="8"/>
    <col width="60" customWidth="1" style="10" min="9" max="9"/>
    <col width="8.7265625" customWidth="1" style="10" min="10" max="16384"/>
  </cols>
  <sheetData>
    <row r="1" ht="18" customHeight="1">
      <c r="A1" s="36" t="inlineStr">
        <is>
          <t>Cari cepat temuan QC</t>
        </is>
      </c>
    </row>
    <row r="2" ht="15" customHeight="1">
      <c r="A2" s="37" t="inlineStr">
        <is>
          <t>Ketik atau pilih nomor QC di kotak kuning. Seluruh detailnya muncul di bawah. Daftar ringkas semua temuan ada di sebelah kanan.</t>
        </is>
      </c>
    </row>
    <row r="4" ht="15" customHeight="1">
      <c r="E4" s="11" t="inlineStr">
        <is>
          <t>Daftar ringkas 47 temuan</t>
        </is>
      </c>
    </row>
    <row r="5" ht="33.75" customHeight="1">
      <c r="A5" s="18" t="inlineStr">
        <is>
          <t>Nomor QC</t>
        </is>
      </c>
      <c r="B5" s="19" t="inlineStr">
        <is>
          <t>QC-062</t>
        </is>
      </c>
      <c r="C5" s="12">
        <f>IF(COUNTIF('01_Findings'!$A$5:$A$66,$B$5)=0,"Nomor tidak ada. Isi antara QC-001 sampai QC-047.","Ditemukan di 01_Findings baris "&amp;(MATCH($B$5,'01_Findings'!$A$5:$A$66,0)+4))</f>
        <v/>
      </c>
      <c r="E5" s="20" t="inlineStr">
        <is>
          <t>No QC</t>
        </is>
      </c>
      <c r="F5" s="20" t="inlineStr">
        <is>
          <t>Tingkat</t>
        </is>
      </c>
      <c r="G5" s="20" t="inlineStr">
        <is>
          <t>Blocker</t>
        </is>
      </c>
      <c r="H5" s="20" t="inlineStr">
        <is>
          <t>Agent</t>
        </is>
      </c>
      <c r="I5" s="20" t="inlineStr">
        <is>
          <t>Judul temuan</t>
        </is>
      </c>
    </row>
    <row r="6" ht="15" customHeight="1">
      <c r="E6" s="21">
        <f>'01B_Findings_ID'!A5</f>
        <v/>
      </c>
      <c r="F6" s="22">
        <f>'01B_Findings_ID'!F5</f>
        <v/>
      </c>
      <c r="G6" s="22">
        <f>'01B_Findings_ID'!G5</f>
        <v/>
      </c>
      <c r="H6" s="22">
        <f>'01B_Findings_ID'!C5</f>
        <v/>
      </c>
      <c r="I6" s="23">
        <f>'01B_Findings_ID'!H5</f>
        <v/>
      </c>
    </row>
    <row r="7" ht="15" customHeight="1">
      <c r="A7" s="11" t="inlineStr">
        <is>
          <t>Ringkasan</t>
        </is>
      </c>
      <c r="E7" s="21">
        <f>'01B_Findings_ID'!A6</f>
        <v/>
      </c>
      <c r="F7" s="22">
        <f>'01B_Findings_ID'!F6</f>
        <v/>
      </c>
      <c r="G7" s="22">
        <f>'01B_Findings_ID'!G6</f>
        <v/>
      </c>
      <c r="H7" s="22">
        <f>'01B_Findings_ID'!C6</f>
        <v/>
      </c>
      <c r="I7" s="23">
        <f>'01B_Findings_ID'!H6</f>
        <v/>
      </c>
    </row>
    <row r="8" ht="15" customHeight="1">
      <c r="B8" s="24" t="inlineStr">
        <is>
          <t>Bahasa Indonesia</t>
        </is>
      </c>
      <c r="C8" s="24" t="inlineStr">
        <is>
          <t>English</t>
        </is>
      </c>
      <c r="E8" s="21">
        <f>'01B_Findings_ID'!A7</f>
        <v/>
      </c>
      <c r="F8" s="22">
        <f>'01B_Findings_ID'!F7</f>
        <v/>
      </c>
      <c r="G8" s="22">
        <f>'01B_Findings_ID'!G7</f>
        <v/>
      </c>
      <c r="H8" s="22">
        <f>'01B_Findings_ID'!C7</f>
        <v/>
      </c>
      <c r="I8" s="23">
        <f>'01B_Findings_ID'!H7</f>
        <v/>
      </c>
    </row>
    <row r="9" ht="15" customHeight="1">
      <c r="A9" s="18" t="inlineStr">
        <is>
          <t>Tingkat keparahan</t>
        </is>
      </c>
      <c r="B9" s="22">
        <f>IFERROR(INDEX('01B_Findings_ID'!$F$5:$F$66,MATCH($B$5,'01B_Findings_ID'!$A$5:$A$66,0)),"tidak ditemukan")</f>
        <v/>
      </c>
      <c r="C9" s="22">
        <f>IFERROR(INDEX('01_Findings'!$F$5:$F$66,MATCH($B$5,'01_Findings'!$A$5:$A$66,0)),"tidak ditemukan")</f>
        <v/>
      </c>
      <c r="E9" s="21">
        <f>'01B_Findings_ID'!A8</f>
        <v/>
      </c>
      <c r="F9" s="22">
        <f>'01B_Findings_ID'!F8</f>
        <v/>
      </c>
      <c r="G9" s="22">
        <f>'01B_Findings_ID'!G8</f>
        <v/>
      </c>
      <c r="H9" s="22">
        <f>'01B_Findings_ID'!C8</f>
        <v/>
      </c>
      <c r="I9" s="23">
        <f>'01B_Findings_ID'!H8</f>
        <v/>
      </c>
    </row>
    <row r="10" ht="15" customHeight="1">
      <c r="A10" s="18" t="inlineStr">
        <is>
          <t>Penghambat demo</t>
        </is>
      </c>
      <c r="B10" s="22">
        <f>IFERROR(INDEX('01B_Findings_ID'!$G$5:$G$66,MATCH($B$5,'01B_Findings_ID'!$A$5:$A$66,0)),"tidak ditemukan")</f>
        <v/>
      </c>
      <c r="C10" s="22">
        <f>IFERROR(INDEX('01_Findings'!$G$5:$G$66,MATCH($B$5,'01_Findings'!$A$5:$A$66,0)),"tidak ditemukan")</f>
        <v/>
      </c>
      <c r="E10" s="21">
        <f>'01B_Findings_ID'!A9</f>
        <v/>
      </c>
      <c r="F10" s="22">
        <f>'01B_Findings_ID'!F9</f>
        <v/>
      </c>
      <c r="G10" s="22">
        <f>'01B_Findings_ID'!G9</f>
        <v/>
      </c>
      <c r="H10" s="22">
        <f>'01B_Findings_ID'!C9</f>
        <v/>
      </c>
      <c r="I10" s="23">
        <f>'01B_Findings_ID'!H9</f>
        <v/>
      </c>
    </row>
    <row r="11" ht="15" customHeight="1">
      <c r="A11" s="18" t="inlineStr">
        <is>
          <t>Agent</t>
        </is>
      </c>
      <c r="B11" s="22">
        <f>IFERROR(INDEX('01B_Findings_ID'!$C$5:$C$66,MATCH($B$5,'01B_Findings_ID'!$A$5:$A$66,0)),"tidak ditemukan")</f>
        <v/>
      </c>
      <c r="C11" s="22">
        <f>IFERROR(INDEX('01_Findings'!$C$5:$C$66,MATCH($B$5,'01_Findings'!$A$5:$A$66,0)),"tidak ditemukan")</f>
        <v/>
      </c>
      <c r="E11" s="21">
        <f>'01B_Findings_ID'!A10</f>
        <v/>
      </c>
      <c r="F11" s="22">
        <f>'01B_Findings_ID'!F10</f>
        <v/>
      </c>
      <c r="G11" s="22">
        <f>'01B_Findings_ID'!G10</f>
        <v/>
      </c>
      <c r="H11" s="22">
        <f>'01B_Findings_ID'!C10</f>
        <v/>
      </c>
      <c r="I11" s="23">
        <f>'01B_Findings_ID'!H10</f>
        <v/>
      </c>
    </row>
    <row r="12" ht="15" customHeight="1">
      <c r="A12" s="18" t="inlineStr">
        <is>
          <t>Area QC</t>
        </is>
      </c>
      <c r="B12" s="22">
        <f>IFERROR(INDEX('01B_Findings_ID'!$D$5:$D$66,MATCH($B$5,'01B_Findings_ID'!$A$5:$A$66,0)),"tidak ditemukan")</f>
        <v/>
      </c>
      <c r="C12" s="22">
        <f>IFERROR(INDEX('01_Findings'!$D$5:$D$66,MATCH($B$5,'01_Findings'!$A$5:$A$66,0)),"tidak ditemukan")</f>
        <v/>
      </c>
      <c r="E12" s="21">
        <f>'01B_Findings_ID'!A11</f>
        <v/>
      </c>
      <c r="F12" s="22">
        <f>'01B_Findings_ID'!F11</f>
        <v/>
      </c>
      <c r="G12" s="22">
        <f>'01B_Findings_ID'!G11</f>
        <v/>
      </c>
      <c r="H12" s="22">
        <f>'01B_Findings_ID'!C11</f>
        <v/>
      </c>
      <c r="I12" s="23">
        <f>'01B_Findings_ID'!H11</f>
        <v/>
      </c>
    </row>
    <row r="13" ht="15" customHeight="1">
      <c r="A13" s="18" t="inlineStr">
        <is>
          <t>Jenis</t>
        </is>
      </c>
      <c r="B13" s="22">
        <f>IFERROR(INDEX('01B_Findings_ID'!$E$5:$E$66,MATCH($B$5,'01B_Findings_ID'!$A$5:$A$66,0)),"tidak ditemukan")</f>
        <v/>
      </c>
      <c r="C13" s="22">
        <f>IFERROR(INDEX('01_Findings'!$E$5:$E$66,MATCH($B$5,'01_Findings'!$A$5:$A$66,0)),"tidak ditemukan")</f>
        <v/>
      </c>
      <c r="E13" s="21">
        <f>'01B_Findings_ID'!A12</f>
        <v/>
      </c>
      <c r="F13" s="22">
        <f>'01B_Findings_ID'!F12</f>
        <v/>
      </c>
      <c r="G13" s="22">
        <f>'01B_Findings_ID'!G12</f>
        <v/>
      </c>
      <c r="H13" s="22">
        <f>'01B_Findings_ID'!C12</f>
        <v/>
      </c>
      <c r="I13" s="23">
        <f>'01B_Findings_ID'!H12</f>
        <v/>
      </c>
    </row>
    <row r="14" ht="15" customHeight="1">
      <c r="A14" s="18" t="inlineStr">
        <is>
          <t>Penanggung jawab</t>
        </is>
      </c>
      <c r="B14" s="22">
        <f>IFERROR(INDEX('01B_Findings_ID'!$L$5:$L$66,MATCH($B$5,'01B_Findings_ID'!$A$5:$A$66,0)),"tidak ditemukan")</f>
        <v/>
      </c>
      <c r="C14" s="22">
        <f>IFERROR(INDEX('01_Findings'!$L$5:$L$66,MATCH($B$5,'01_Findings'!$A$5:$A$66,0)),"tidak ditemukan")</f>
        <v/>
      </c>
      <c r="E14" s="21">
        <f>'01B_Findings_ID'!A13</f>
        <v/>
      </c>
      <c r="F14" s="22">
        <f>'01B_Findings_ID'!F13</f>
        <v/>
      </c>
      <c r="G14" s="22">
        <f>'01B_Findings_ID'!G13</f>
        <v/>
      </c>
      <c r="H14" s="22">
        <f>'01B_Findings_ID'!C13</f>
        <v/>
      </c>
      <c r="I14" s="23">
        <f>'01B_Findings_ID'!H13</f>
        <v/>
      </c>
    </row>
    <row r="15" ht="15" customHeight="1">
      <c r="A15" s="18" t="inlineStr">
        <is>
          <t>Target selesai</t>
        </is>
      </c>
      <c r="B15" s="22">
        <f>IFERROR(INDEX('01B_Findings_ID'!$M$5:$M$66,MATCH($B$5,'01B_Findings_ID'!$A$5:$A$66,0)),"tidak ditemukan")</f>
        <v/>
      </c>
      <c r="C15" s="22">
        <f>IFERROR(INDEX('01_Findings'!$M$5:$M$66,MATCH($B$5,'01_Findings'!$A$5:$A$66,0)),"tidak ditemukan")</f>
        <v/>
      </c>
      <c r="E15" s="21">
        <f>'01B_Findings_ID'!A14</f>
        <v/>
      </c>
      <c r="F15" s="22">
        <f>'01B_Findings_ID'!F14</f>
        <v/>
      </c>
      <c r="G15" s="22">
        <f>'01B_Findings_ID'!G14</f>
        <v/>
      </c>
      <c r="H15" s="22">
        <f>'01B_Findings_ID'!C14</f>
        <v/>
      </c>
      <c r="I15" s="23">
        <f>'01B_Findings_ID'!H14</f>
        <v/>
      </c>
    </row>
    <row r="16" ht="15" customHeight="1">
      <c r="A16" s="18" t="inlineStr">
        <is>
          <t>Status</t>
        </is>
      </c>
      <c r="B16" s="22">
        <f>IFERROR(INDEX('01B_Findings_ID'!$N$5:$N$66,MATCH($B$5,'01B_Findings_ID'!$A$5:$A$66,0)),"tidak ditemukan")</f>
        <v/>
      </c>
      <c r="C16" s="22">
        <f>IFERROR(INDEX('01_Findings'!$N$5:$N$66,MATCH($B$5,'01_Findings'!$A$5:$A$66,0)),"tidak ditemukan")</f>
        <v/>
      </c>
      <c r="E16" s="21">
        <f>'01B_Findings_ID'!A15</f>
        <v/>
      </c>
      <c r="F16" s="22">
        <f>'01B_Findings_ID'!F15</f>
        <v/>
      </c>
      <c r="G16" s="22">
        <f>'01B_Findings_ID'!G15</f>
        <v/>
      </c>
      <c r="H16" s="22">
        <f>'01B_Findings_ID'!C15</f>
        <v/>
      </c>
      <c r="I16" s="23">
        <f>'01B_Findings_ID'!H15</f>
        <v/>
      </c>
    </row>
    <row r="17" ht="15" customHeight="1">
      <c r="A17" s="11" t="inlineStr">
        <is>
          <t>Rincian</t>
        </is>
      </c>
      <c r="E17" s="21">
        <f>'01B_Findings_ID'!A16</f>
        <v/>
      </c>
      <c r="F17" s="22">
        <f>'01B_Findings_ID'!F16</f>
        <v/>
      </c>
      <c r="G17" s="22">
        <f>'01B_Findings_ID'!G16</f>
        <v/>
      </c>
      <c r="H17" s="22">
        <f>'01B_Findings_ID'!C16</f>
        <v/>
      </c>
      <c r="I17" s="23">
        <f>'01B_Findings_ID'!H16</f>
        <v/>
      </c>
    </row>
    <row r="18" ht="15" customHeight="1">
      <c r="A18" s="18" t="inlineStr">
        <is>
          <t>Temuan</t>
        </is>
      </c>
      <c r="B18" s="39">
        <f>IFERROR(INDEX('01B_Findings_ID'!$H$5:$H$66,MATCH($B$5,'01B_Findings_ID'!$A$5:$A$66,0)),"tidak ditemukan")</f>
        <v/>
      </c>
      <c r="C18" s="39">
        <f>IFERROR(INDEX('01_Findings'!$H$5:$H$66,MATCH($B$5,'01_Findings'!$A$5:$A$66,0)),"tidak ditemukan")</f>
        <v/>
      </c>
      <c r="E18" s="21">
        <f>'01B_Findings_ID'!A17</f>
        <v/>
      </c>
      <c r="F18" s="22">
        <f>'01B_Findings_ID'!F17</f>
        <v/>
      </c>
      <c r="G18" s="22">
        <f>'01B_Findings_ID'!G17</f>
        <v/>
      </c>
      <c r="H18" s="22">
        <f>'01B_Findings_ID'!C17</f>
        <v/>
      </c>
      <c r="I18" s="23">
        <f>'01B_Findings_ID'!H17</f>
        <v/>
      </c>
    </row>
    <row r="19" ht="15" customHeight="1">
      <c r="A19" s="18" t="inlineStr">
        <is>
          <t>Bukti yang ditemukan</t>
        </is>
      </c>
      <c r="B19" s="39">
        <f>IFERROR(INDEX('01B_Findings_ID'!$I$5:$I$66,MATCH($B$5,'01B_Findings_ID'!$A$5:$A$66,0)),"tidak ditemukan")</f>
        <v/>
      </c>
      <c r="C19" s="39">
        <f>IFERROR(INDEX('01_Findings'!$I$5:$I$66,MATCH($B$5,'01_Findings'!$A$5:$A$66,0)),"tidak ditemukan")</f>
        <v/>
      </c>
      <c r="E19" s="21">
        <f>'01B_Findings_ID'!A18</f>
        <v/>
      </c>
      <c r="F19" s="22">
        <f>'01B_Findings_ID'!F18</f>
        <v/>
      </c>
      <c r="G19" s="22">
        <f>'01B_Findings_ID'!G18</f>
        <v/>
      </c>
      <c r="H19" s="22">
        <f>'01B_Findings_ID'!C18</f>
        <v/>
      </c>
      <c r="I19" s="23">
        <f>'01B_Findings_ID'!H18</f>
        <v/>
      </c>
    </row>
    <row r="20" ht="15" customHeight="1">
      <c r="A20" s="18" t="inlineStr">
        <is>
          <t>Perilaku yang seharusnya</t>
        </is>
      </c>
      <c r="B20" s="39">
        <f>IFERROR(INDEX('01B_Findings_ID'!$J$5:$J$66,MATCH($B$5,'01B_Findings_ID'!$A$5:$A$66,0)),"tidak ditemukan")</f>
        <v/>
      </c>
      <c r="C20" s="39">
        <f>IFERROR(INDEX('01_Findings'!$J$5:$J$66,MATCH($B$5,'01_Findings'!$A$5:$A$66,0)),"tidak ditemukan")</f>
        <v/>
      </c>
      <c r="E20" s="21">
        <f>'01B_Findings_ID'!A19</f>
        <v/>
      </c>
      <c r="F20" s="22">
        <f>'01B_Findings_ID'!F19</f>
        <v/>
      </c>
      <c r="G20" s="22">
        <f>'01B_Findings_ID'!G19</f>
        <v/>
      </c>
      <c r="H20" s="22">
        <f>'01B_Findings_ID'!C19</f>
        <v/>
      </c>
      <c r="I20" s="23">
        <f>'01B_Findings_ID'!H19</f>
        <v/>
      </c>
    </row>
    <row r="21" ht="15" customHeight="1">
      <c r="A21" s="18" t="inlineStr">
        <is>
          <t>Dugaan akar masalah</t>
        </is>
      </c>
      <c r="B21" s="39">
        <f>IFERROR(INDEX('01B_Findings_ID'!$K$5:$K$66,MATCH($B$5,'01B_Findings_ID'!$A$5:$A$66,0)),"tidak ditemukan")</f>
        <v/>
      </c>
      <c r="C21" s="39">
        <f>IFERROR(INDEX('01_Findings'!$K$5:$K$66,MATCH($B$5,'01_Findings'!$A$5:$A$66,0)),"tidak ditemukan")</f>
        <v/>
      </c>
      <c r="E21" s="21">
        <f>'01B_Findings_ID'!A20</f>
        <v/>
      </c>
      <c r="F21" s="22">
        <f>'01B_Findings_ID'!F20</f>
        <v/>
      </c>
      <c r="G21" s="22">
        <f>'01B_Findings_ID'!G20</f>
        <v/>
      </c>
      <c r="H21" s="22">
        <f>'01B_Findings_ID'!C20</f>
        <v/>
      </c>
      <c r="I21" s="23">
        <f>'01B_Findings_ID'!H20</f>
        <v/>
      </c>
    </row>
    <row r="22" ht="15" customHeight="1">
      <c r="E22" s="21">
        <f>'01B_Findings_ID'!A21</f>
        <v/>
      </c>
      <c r="F22" s="22">
        <f>'01B_Findings_ID'!F21</f>
        <v/>
      </c>
      <c r="G22" s="22">
        <f>'01B_Findings_ID'!G21</f>
        <v/>
      </c>
      <c r="H22" s="22">
        <f>'01B_Findings_ID'!C21</f>
        <v/>
      </c>
      <c r="I22" s="23">
        <f>'01B_Findings_ID'!H21</f>
        <v/>
      </c>
    </row>
    <row r="23" ht="15" customHeight="1">
      <c r="A23" s="11" t="inlineStr">
        <is>
          <t>Pemeriksaan formula terkait</t>
        </is>
      </c>
      <c r="E23" s="21">
        <f>'01B_Findings_ID'!A22</f>
        <v/>
      </c>
      <c r="F23" s="22">
        <f>'01B_Findings_ID'!F22</f>
        <v/>
      </c>
      <c r="G23" s="22">
        <f>'01B_Findings_ID'!G22</f>
        <v/>
      </c>
      <c r="H23" s="22">
        <f>'01B_Findings_ID'!C22</f>
        <v/>
      </c>
      <c r="I23" s="23">
        <f>'01B_Findings_ID'!H22</f>
        <v/>
      </c>
    </row>
    <row r="24" ht="15" customHeight="1">
      <c r="A24" s="18" t="inlineStr">
        <is>
          <t>Perhitungan</t>
        </is>
      </c>
      <c r="B24" s="39">
        <f>IFERROR(INDEX('03_Formula_Checks'!$D$5:$D$66,MATCH($B$5,'03_Formula_Checks'!$G$5:$G$66,0)),"tidak ada pemeriksaan formula untuk nomor ini")</f>
        <v/>
      </c>
      <c r="C24" s="71" t="n"/>
      <c r="E24" s="21">
        <f>'01B_Findings_ID'!A23</f>
        <v/>
      </c>
      <c r="F24" s="22">
        <f>'01B_Findings_ID'!F23</f>
        <v/>
      </c>
      <c r="G24" s="22">
        <f>'01B_Findings_ID'!G23</f>
        <v/>
      </c>
      <c r="H24" s="22">
        <f>'01B_Findings_ID'!C23</f>
        <v/>
      </c>
      <c r="I24" s="23">
        <f>'01B_Findings_ID'!H23</f>
        <v/>
      </c>
    </row>
    <row r="25" ht="15" customHeight="1">
      <c r="A25" s="18" t="inlineStr">
        <is>
          <t>Hasil di aplikasi</t>
        </is>
      </c>
      <c r="B25" s="39">
        <f>IFERROR(INDEX('03_Formula_Checks'!$E$5:$E$66,MATCH($B$5,'03_Formula_Checks'!$G$5:$G$66,0)),"-")</f>
        <v/>
      </c>
      <c r="C25" s="71" t="n"/>
      <c r="E25" s="21">
        <f>'01B_Findings_ID'!A24</f>
        <v/>
      </c>
      <c r="F25" s="22">
        <f>'01B_Findings_ID'!F24</f>
        <v/>
      </c>
      <c r="G25" s="22">
        <f>'01B_Findings_ID'!G24</f>
        <v/>
      </c>
      <c r="H25" s="22">
        <f>'01B_Findings_ID'!C24</f>
        <v/>
      </c>
      <c r="I25" s="23">
        <f>'01B_Findings_ID'!H24</f>
        <v/>
      </c>
    </row>
    <row r="26" ht="15" customHeight="1">
      <c r="A26" s="18" t="inlineStr">
        <is>
          <t>Verdict</t>
        </is>
      </c>
      <c r="B26" s="40">
        <f>IFERROR(INDEX('03_Formula_Checks'!$F$5:$F$66,MATCH($B$5,'03_Formula_Checks'!$G$5:$G$66,0)),"-")</f>
        <v/>
      </c>
      <c r="C26" s="71" t="n"/>
      <c r="E26" s="21">
        <f>'01B_Findings_ID'!A25</f>
        <v/>
      </c>
      <c r="F26" s="22">
        <f>'01B_Findings_ID'!F25</f>
        <v/>
      </c>
      <c r="G26" s="22">
        <f>'01B_Findings_ID'!G25</f>
        <v/>
      </c>
      <c r="H26" s="22">
        <f>'01B_Findings_ID'!C25</f>
        <v/>
      </c>
      <c r="I26" s="23">
        <f>'01B_Findings_ID'!H25</f>
        <v/>
      </c>
    </row>
    <row r="27" ht="15" customHeight="1">
      <c r="E27" s="21">
        <f>'01B_Findings_ID'!A26</f>
        <v/>
      </c>
      <c r="F27" s="22">
        <f>'01B_Findings_ID'!F26</f>
        <v/>
      </c>
      <c r="G27" s="22">
        <f>'01B_Findings_ID'!G26</f>
        <v/>
      </c>
      <c r="H27" s="22">
        <f>'01B_Findings_ID'!C26</f>
        <v/>
      </c>
      <c r="I27" s="23">
        <f>'01B_Findings_ID'!H26</f>
        <v/>
      </c>
    </row>
    <row r="28" ht="15" customHeight="1">
      <c r="E28" s="21">
        <f>'01B_Findings_ID'!A27</f>
        <v/>
      </c>
      <c r="F28" s="22">
        <f>'01B_Findings_ID'!F27</f>
        <v/>
      </c>
      <c r="G28" s="22">
        <f>'01B_Findings_ID'!G27</f>
        <v/>
      </c>
      <c r="H28" s="22">
        <f>'01B_Findings_ID'!C27</f>
        <v/>
      </c>
      <c r="I28" s="23">
        <f>'01B_Findings_ID'!H27</f>
        <v/>
      </c>
    </row>
    <row r="29" ht="15" customHeight="1">
      <c r="A29" s="11" t="inlineStr">
        <is>
          <t>Catatan</t>
        </is>
      </c>
      <c r="E29" s="21">
        <f>'01B_Findings_ID'!A28</f>
        <v/>
      </c>
      <c r="F29" s="22">
        <f>'01B_Findings_ID'!F28</f>
        <v/>
      </c>
      <c r="G29" s="22">
        <f>'01B_Findings_ID'!G28</f>
        <v/>
      </c>
      <c r="H29" s="22">
        <f>'01B_Findings_ID'!C28</f>
        <v/>
      </c>
      <c r="I29" s="23">
        <f>'01B_Findings_ID'!H28</f>
        <v/>
      </c>
    </row>
    <row r="30" ht="15" customHeight="1">
      <c r="A30" s="38" t="inlineStr">
        <is>
          <t>Kalau kolom B dan C berbunyi 'tidak ditemukan', berarti nomor QC-nya salah ketik. Gunakan daftar di sebelah kanan.</t>
        </is>
      </c>
      <c r="E30" s="21">
        <f>'01B_Findings_ID'!A29</f>
        <v/>
      </c>
      <c r="F30" s="22">
        <f>'01B_Findings_ID'!F29</f>
        <v/>
      </c>
      <c r="G30" s="22">
        <f>'01B_Findings_ID'!G29</f>
        <v/>
      </c>
      <c r="H30" s="22">
        <f>'01B_Findings_ID'!C29</f>
        <v/>
      </c>
      <c r="I30" s="23">
        <f>'01B_Findings_ID'!H29</f>
        <v/>
      </c>
    </row>
    <row r="31" ht="15" customHeight="1">
      <c r="A31" s="38" t="inlineStr">
        <is>
          <t>Temuan yang tidak punya pemeriksaan formula akan menampilkan 'tidak ada pemeriksaan formula untuk nomor ini'. Itu normal, tidak semua temuan berupa hitungan.</t>
        </is>
      </c>
      <c r="E31" s="21">
        <f>'01B_Findings_ID'!A30</f>
        <v/>
      </c>
      <c r="F31" s="22">
        <f>'01B_Findings_ID'!F30</f>
        <v/>
      </c>
      <c r="G31" s="22">
        <f>'01B_Findings_ID'!G30</f>
        <v/>
      </c>
      <c r="H31" s="22">
        <f>'01B_Findings_ID'!C30</f>
        <v/>
      </c>
      <c r="I31" s="23">
        <f>'01B_Findings_ID'!H30</f>
        <v/>
      </c>
    </row>
    <row r="32" ht="15" customHeight="1">
      <c r="E32" s="21">
        <f>'01B_Findings_ID'!A31</f>
        <v/>
      </c>
      <c r="F32" s="22">
        <f>'01B_Findings_ID'!F31</f>
        <v/>
      </c>
      <c r="G32" s="22">
        <f>'01B_Findings_ID'!G31</f>
        <v/>
      </c>
      <c r="H32" s="22">
        <f>'01B_Findings_ID'!C31</f>
        <v/>
      </c>
      <c r="I32" s="23">
        <f>'01B_Findings_ID'!H31</f>
        <v/>
      </c>
    </row>
    <row r="33" ht="15" customHeight="1">
      <c r="E33" s="21">
        <f>'01B_Findings_ID'!A32</f>
        <v/>
      </c>
      <c r="F33" s="22">
        <f>'01B_Findings_ID'!F32</f>
        <v/>
      </c>
      <c r="G33" s="22">
        <f>'01B_Findings_ID'!G32</f>
        <v/>
      </c>
      <c r="H33" s="22">
        <f>'01B_Findings_ID'!C32</f>
        <v/>
      </c>
      <c r="I33" s="23">
        <f>'01B_Findings_ID'!H32</f>
        <v/>
      </c>
    </row>
    <row r="34" ht="15" customHeight="1">
      <c r="E34" s="21">
        <f>'01B_Findings_ID'!A33</f>
        <v/>
      </c>
      <c r="F34" s="22">
        <f>'01B_Findings_ID'!F33</f>
        <v/>
      </c>
      <c r="G34" s="22">
        <f>'01B_Findings_ID'!G33</f>
        <v/>
      </c>
      <c r="H34" s="22">
        <f>'01B_Findings_ID'!C33</f>
        <v/>
      </c>
      <c r="I34" s="23">
        <f>'01B_Findings_ID'!H33</f>
        <v/>
      </c>
    </row>
    <row r="35" ht="15" customHeight="1">
      <c r="E35" s="21">
        <f>'01B_Findings_ID'!A34</f>
        <v/>
      </c>
      <c r="F35" s="22">
        <f>'01B_Findings_ID'!F34</f>
        <v/>
      </c>
      <c r="G35" s="22">
        <f>'01B_Findings_ID'!G34</f>
        <v/>
      </c>
      <c r="H35" s="22">
        <f>'01B_Findings_ID'!C34</f>
        <v/>
      </c>
      <c r="I35" s="23">
        <f>'01B_Findings_ID'!H34</f>
        <v/>
      </c>
    </row>
    <row r="36" ht="15" customHeight="1">
      <c r="E36" s="21">
        <f>'01B_Findings_ID'!A35</f>
        <v/>
      </c>
      <c r="F36" s="22">
        <f>'01B_Findings_ID'!F35</f>
        <v/>
      </c>
      <c r="G36" s="22">
        <f>'01B_Findings_ID'!G35</f>
        <v/>
      </c>
      <c r="H36" s="22">
        <f>'01B_Findings_ID'!C35</f>
        <v/>
      </c>
      <c r="I36" s="23">
        <f>'01B_Findings_ID'!H35</f>
        <v/>
      </c>
    </row>
    <row r="37" ht="15" customHeight="1">
      <c r="E37" s="21">
        <f>'01B_Findings_ID'!A36</f>
        <v/>
      </c>
      <c r="F37" s="22">
        <f>'01B_Findings_ID'!F36</f>
        <v/>
      </c>
      <c r="G37" s="22">
        <f>'01B_Findings_ID'!G36</f>
        <v/>
      </c>
      <c r="H37" s="22">
        <f>'01B_Findings_ID'!C36</f>
        <v/>
      </c>
      <c r="I37" s="23">
        <f>'01B_Findings_ID'!H36</f>
        <v/>
      </c>
    </row>
    <row r="38" ht="15" customHeight="1">
      <c r="E38" s="21">
        <f>'01B_Findings_ID'!A37</f>
        <v/>
      </c>
      <c r="F38" s="22">
        <f>'01B_Findings_ID'!F37</f>
        <v/>
      </c>
      <c r="G38" s="22">
        <f>'01B_Findings_ID'!G37</f>
        <v/>
      </c>
      <c r="H38" s="22">
        <f>'01B_Findings_ID'!C37</f>
        <v/>
      </c>
      <c r="I38" s="23">
        <f>'01B_Findings_ID'!H37</f>
        <v/>
      </c>
    </row>
    <row r="39" ht="15" customHeight="1">
      <c r="E39" s="21">
        <f>'01B_Findings_ID'!A38</f>
        <v/>
      </c>
      <c r="F39" s="22">
        <f>'01B_Findings_ID'!F38</f>
        <v/>
      </c>
      <c r="G39" s="22">
        <f>'01B_Findings_ID'!G38</f>
        <v/>
      </c>
      <c r="H39" s="22">
        <f>'01B_Findings_ID'!C38</f>
        <v/>
      </c>
      <c r="I39" s="23">
        <f>'01B_Findings_ID'!H38</f>
        <v/>
      </c>
    </row>
    <row r="40" ht="15" customHeight="1">
      <c r="E40" s="21">
        <f>'01B_Findings_ID'!A39</f>
        <v/>
      </c>
      <c r="F40" s="22">
        <f>'01B_Findings_ID'!F39</f>
        <v/>
      </c>
      <c r="G40" s="22">
        <f>'01B_Findings_ID'!G39</f>
        <v/>
      </c>
      <c r="H40" s="22">
        <f>'01B_Findings_ID'!C39</f>
        <v/>
      </c>
      <c r="I40" s="23">
        <f>'01B_Findings_ID'!H39</f>
        <v/>
      </c>
    </row>
    <row r="41" ht="15" customHeight="1">
      <c r="E41" s="21">
        <f>'01B_Findings_ID'!A40</f>
        <v/>
      </c>
      <c r="F41" s="22">
        <f>'01B_Findings_ID'!F40</f>
        <v/>
      </c>
      <c r="G41" s="22">
        <f>'01B_Findings_ID'!G40</f>
        <v/>
      </c>
      <c r="H41" s="22">
        <f>'01B_Findings_ID'!C40</f>
        <v/>
      </c>
      <c r="I41" s="23">
        <f>'01B_Findings_ID'!H40</f>
        <v/>
      </c>
    </row>
    <row r="42" ht="15" customHeight="1">
      <c r="E42" s="21">
        <f>'01B_Findings_ID'!A41</f>
        <v/>
      </c>
      <c r="F42" s="22">
        <f>'01B_Findings_ID'!F41</f>
        <v/>
      </c>
      <c r="G42" s="22">
        <f>'01B_Findings_ID'!G41</f>
        <v/>
      </c>
      <c r="H42" s="22">
        <f>'01B_Findings_ID'!C41</f>
        <v/>
      </c>
      <c r="I42" s="23">
        <f>'01B_Findings_ID'!H41</f>
        <v/>
      </c>
    </row>
    <row r="43" ht="15" customHeight="1">
      <c r="E43" s="21">
        <f>'01B_Findings_ID'!A42</f>
        <v/>
      </c>
      <c r="F43" s="22">
        <f>'01B_Findings_ID'!F42</f>
        <v/>
      </c>
      <c r="G43" s="22">
        <f>'01B_Findings_ID'!G42</f>
        <v/>
      </c>
      <c r="H43" s="22">
        <f>'01B_Findings_ID'!C42</f>
        <v/>
      </c>
      <c r="I43" s="23">
        <f>'01B_Findings_ID'!H42</f>
        <v/>
      </c>
    </row>
    <row r="44" ht="15" customHeight="1">
      <c r="E44" s="21">
        <f>'01B_Findings_ID'!A43</f>
        <v/>
      </c>
      <c r="F44" s="22">
        <f>'01B_Findings_ID'!F43</f>
        <v/>
      </c>
      <c r="G44" s="22">
        <f>'01B_Findings_ID'!G43</f>
        <v/>
      </c>
      <c r="H44" s="22">
        <f>'01B_Findings_ID'!C43</f>
        <v/>
      </c>
      <c r="I44" s="23">
        <f>'01B_Findings_ID'!H43</f>
        <v/>
      </c>
    </row>
    <row r="45" ht="15" customHeight="1">
      <c r="E45" s="21">
        <f>'01B_Findings_ID'!A44</f>
        <v/>
      </c>
      <c r="F45" s="22">
        <f>'01B_Findings_ID'!F44</f>
        <v/>
      </c>
      <c r="G45" s="22">
        <f>'01B_Findings_ID'!G44</f>
        <v/>
      </c>
      <c r="H45" s="22">
        <f>'01B_Findings_ID'!C44</f>
        <v/>
      </c>
      <c r="I45" s="23">
        <f>'01B_Findings_ID'!H44</f>
        <v/>
      </c>
    </row>
    <row r="46" ht="15" customHeight="1">
      <c r="E46" s="21">
        <f>'01B_Findings_ID'!A45</f>
        <v/>
      </c>
      <c r="F46" s="22">
        <f>'01B_Findings_ID'!F45</f>
        <v/>
      </c>
      <c r="G46" s="22">
        <f>'01B_Findings_ID'!G45</f>
        <v/>
      </c>
      <c r="H46" s="22">
        <f>'01B_Findings_ID'!C45</f>
        <v/>
      </c>
      <c r="I46" s="23">
        <f>'01B_Findings_ID'!H45</f>
        <v/>
      </c>
    </row>
    <row r="47" ht="15" customHeight="1">
      <c r="E47" s="21">
        <f>'01B_Findings_ID'!A46</f>
        <v/>
      </c>
      <c r="F47" s="22">
        <f>'01B_Findings_ID'!F46</f>
        <v/>
      </c>
      <c r="G47" s="22">
        <f>'01B_Findings_ID'!G46</f>
        <v/>
      </c>
      <c r="H47" s="22">
        <f>'01B_Findings_ID'!C46</f>
        <v/>
      </c>
      <c r="I47" s="23">
        <f>'01B_Findings_ID'!H46</f>
        <v/>
      </c>
    </row>
    <row r="48" ht="15" customHeight="1">
      <c r="E48" s="21">
        <f>'01B_Findings_ID'!A47</f>
        <v/>
      </c>
      <c r="F48" s="22">
        <f>'01B_Findings_ID'!F47</f>
        <v/>
      </c>
      <c r="G48" s="22">
        <f>'01B_Findings_ID'!G47</f>
        <v/>
      </c>
      <c r="H48" s="22">
        <f>'01B_Findings_ID'!C47</f>
        <v/>
      </c>
      <c r="I48" s="23">
        <f>'01B_Findings_ID'!H47</f>
        <v/>
      </c>
    </row>
    <row r="49" ht="15" customHeight="1">
      <c r="E49" s="21">
        <f>'01B_Findings_ID'!A48</f>
        <v/>
      </c>
      <c r="F49" s="22">
        <f>'01B_Findings_ID'!F48</f>
        <v/>
      </c>
      <c r="G49" s="22">
        <f>'01B_Findings_ID'!G48</f>
        <v/>
      </c>
      <c r="H49" s="22">
        <f>'01B_Findings_ID'!C48</f>
        <v/>
      </c>
      <c r="I49" s="23">
        <f>'01B_Findings_ID'!H48</f>
        <v/>
      </c>
    </row>
    <row r="50" ht="15" customHeight="1">
      <c r="E50" s="21">
        <f>'01B_Findings_ID'!A49</f>
        <v/>
      </c>
      <c r="F50" s="22">
        <f>'01B_Findings_ID'!F49</f>
        <v/>
      </c>
      <c r="G50" s="22">
        <f>'01B_Findings_ID'!G49</f>
        <v/>
      </c>
      <c r="H50" s="22">
        <f>'01B_Findings_ID'!C49</f>
        <v/>
      </c>
      <c r="I50" s="23">
        <f>'01B_Findings_ID'!H49</f>
        <v/>
      </c>
    </row>
    <row r="51" ht="15" customHeight="1">
      <c r="E51" s="21">
        <f>'01B_Findings_ID'!A50</f>
        <v/>
      </c>
      <c r="F51" s="22">
        <f>'01B_Findings_ID'!F50</f>
        <v/>
      </c>
      <c r="G51" s="22">
        <f>'01B_Findings_ID'!G50</f>
        <v/>
      </c>
      <c r="H51" s="22">
        <f>'01B_Findings_ID'!C50</f>
        <v/>
      </c>
      <c r="I51" s="23">
        <f>'01B_Findings_ID'!H50</f>
        <v/>
      </c>
    </row>
    <row r="52" ht="15" customHeight="1">
      <c r="E52" s="21">
        <f>'01B_Findings_ID'!A51</f>
        <v/>
      </c>
      <c r="F52" s="22">
        <f>'01B_Findings_ID'!F51</f>
        <v/>
      </c>
      <c r="G52" s="22">
        <f>'01B_Findings_ID'!G51</f>
        <v/>
      </c>
      <c r="H52" s="22">
        <f>'01B_Findings_ID'!C51</f>
        <v/>
      </c>
      <c r="I52" s="23">
        <f>'01B_Findings_ID'!H51</f>
        <v/>
      </c>
    </row>
    <row r="53" ht="15" customHeight="1">
      <c r="E53" s="26">
        <f>'01B_Findings_ID'!A52</f>
        <v/>
      </c>
      <c r="F53" s="22">
        <f>'01B_Findings_ID'!F52</f>
        <v/>
      </c>
      <c r="G53" s="22">
        <f>'01B_Findings_ID'!G52</f>
        <v/>
      </c>
      <c r="H53" s="22">
        <f>'01B_Findings_ID'!C52</f>
        <v/>
      </c>
      <c r="I53" s="23">
        <f>'01B_Findings_ID'!H52</f>
        <v/>
      </c>
    </row>
    <row r="54" ht="15" customHeight="1">
      <c r="E54" s="26">
        <f>'01B_Findings_ID'!A53</f>
        <v/>
      </c>
      <c r="F54" s="22">
        <f>'01B_Findings_ID'!F53</f>
        <v/>
      </c>
      <c r="G54" s="22">
        <f>'01B_Findings_ID'!G53</f>
        <v/>
      </c>
      <c r="H54" s="22">
        <f>'01B_Findings_ID'!C53</f>
        <v/>
      </c>
      <c r="I54" s="23">
        <f>'01B_Findings_ID'!H53</f>
        <v/>
      </c>
    </row>
    <row r="55" ht="15" customHeight="1">
      <c r="E55" s="26">
        <f>'01B_Findings_ID'!A54</f>
        <v/>
      </c>
      <c r="F55" s="22">
        <f>'01B_Findings_ID'!F54</f>
        <v/>
      </c>
      <c r="G55" s="22">
        <f>'01B_Findings_ID'!G54</f>
        <v/>
      </c>
      <c r="H55" s="22">
        <f>'01B_Findings_ID'!C54</f>
        <v/>
      </c>
      <c r="I55" s="23">
        <f>'01B_Findings_ID'!H54</f>
        <v/>
      </c>
    </row>
    <row r="56" ht="15" customHeight="1">
      <c r="E56" s="26">
        <f>'01B_Findings_ID'!A55</f>
        <v/>
      </c>
      <c r="F56" s="22">
        <f>'01B_Findings_ID'!F55</f>
        <v/>
      </c>
      <c r="G56" s="22">
        <f>'01B_Findings_ID'!G55</f>
        <v/>
      </c>
      <c r="H56" s="22">
        <f>'01B_Findings_ID'!C55</f>
        <v/>
      </c>
      <c r="I56" s="23">
        <f>'01B_Findings_ID'!H55</f>
        <v/>
      </c>
    </row>
    <row r="57" ht="15" customHeight="1">
      <c r="E57" s="26">
        <f>'01B_Findings_ID'!A56</f>
        <v/>
      </c>
      <c r="F57" s="22">
        <f>'01B_Findings_ID'!F56</f>
        <v/>
      </c>
      <c r="G57" s="22">
        <f>'01B_Findings_ID'!G56</f>
        <v/>
      </c>
      <c r="H57" s="22">
        <f>'01B_Findings_ID'!C56</f>
        <v/>
      </c>
      <c r="I57" s="23">
        <f>'01B_Findings_ID'!H56</f>
        <v/>
      </c>
    </row>
    <row r="58" ht="15" customHeight="1">
      <c r="E58" s="26">
        <f>'01B_Findings_ID'!A57</f>
        <v/>
      </c>
      <c r="F58" s="22">
        <f>'01B_Findings_ID'!F57</f>
        <v/>
      </c>
      <c r="G58" s="22">
        <f>'01B_Findings_ID'!G57</f>
        <v/>
      </c>
      <c r="H58" s="22">
        <f>'01B_Findings_ID'!C57</f>
        <v/>
      </c>
      <c r="I58" s="23">
        <f>'01B_Findings_ID'!H57</f>
        <v/>
      </c>
    </row>
    <row r="59" ht="15" customHeight="1">
      <c r="E59" s="26">
        <f>'01B_Findings_ID'!A58</f>
        <v/>
      </c>
      <c r="F59" s="22">
        <f>'01B_Findings_ID'!F58</f>
        <v/>
      </c>
      <c r="G59" s="22">
        <f>'01B_Findings_ID'!G58</f>
        <v/>
      </c>
      <c r="H59" s="22">
        <f>'01B_Findings_ID'!C58</f>
        <v/>
      </c>
      <c r="I59" s="23">
        <f>'01B_Findings_ID'!H58</f>
        <v/>
      </c>
    </row>
    <row r="60" ht="15" customHeight="1">
      <c r="E60" s="26">
        <f>'01B_Findings_ID'!A59</f>
        <v/>
      </c>
      <c r="F60" s="22">
        <f>'01B_Findings_ID'!F59</f>
        <v/>
      </c>
      <c r="G60" s="22">
        <f>'01B_Findings_ID'!G59</f>
        <v/>
      </c>
      <c r="H60" s="22">
        <f>'01B_Findings_ID'!C59</f>
        <v/>
      </c>
      <c r="I60" s="23">
        <f>'01B_Findings_ID'!H59</f>
        <v/>
      </c>
    </row>
    <row r="61" ht="15" customHeight="1">
      <c r="E61" s="26">
        <f>'01B_Findings_ID'!A60</f>
        <v/>
      </c>
      <c r="F61" s="22">
        <f>'01B_Findings_ID'!F60</f>
        <v/>
      </c>
      <c r="G61" s="22">
        <f>'01B_Findings_ID'!G60</f>
        <v/>
      </c>
      <c r="H61" s="22">
        <f>'01B_Findings_ID'!C60</f>
        <v/>
      </c>
      <c r="I61" s="23">
        <f>'01B_Findings_ID'!H60</f>
        <v/>
      </c>
    </row>
    <row r="62" ht="15" customHeight="1">
      <c r="E62" s="26">
        <f>'01B_Findings_ID'!A61</f>
        <v/>
      </c>
      <c r="F62" s="22">
        <f>'01B_Findings_ID'!F61</f>
        <v/>
      </c>
      <c r="G62" s="22">
        <f>'01B_Findings_ID'!G61</f>
        <v/>
      </c>
      <c r="H62" s="22">
        <f>'01B_Findings_ID'!C61</f>
        <v/>
      </c>
      <c r="I62" s="23">
        <f>'01B_Findings_ID'!H61</f>
        <v/>
      </c>
    </row>
    <row r="63" ht="15" customHeight="1">
      <c r="E63" s="26">
        <f>'01B_Findings_ID'!A62</f>
        <v/>
      </c>
      <c r="F63" s="22">
        <f>'01B_Findings_ID'!F62</f>
        <v/>
      </c>
      <c r="G63" s="22">
        <f>'01B_Findings_ID'!G62</f>
        <v/>
      </c>
      <c r="H63" s="22">
        <f>'01B_Findings_ID'!C62</f>
        <v/>
      </c>
      <c r="I63" s="23">
        <f>'01B_Findings_ID'!H62</f>
        <v/>
      </c>
    </row>
    <row r="64" ht="15" customHeight="1">
      <c r="E64" s="26">
        <f>'01B_Findings_ID'!A63</f>
        <v/>
      </c>
      <c r="F64" s="22">
        <f>'01B_Findings_ID'!F63</f>
        <v/>
      </c>
      <c r="G64" s="22">
        <f>'01B_Findings_ID'!G63</f>
        <v/>
      </c>
      <c r="H64" s="22">
        <f>'01B_Findings_ID'!C63</f>
        <v/>
      </c>
      <c r="I64" s="23">
        <f>'01B_Findings_ID'!H63</f>
        <v/>
      </c>
    </row>
    <row r="65" ht="15" customHeight="1">
      <c r="E65" s="26">
        <f>'01B_Findings_ID'!A64</f>
        <v/>
      </c>
      <c r="F65" s="22">
        <f>'01B_Findings_ID'!F64</f>
        <v/>
      </c>
      <c r="G65" s="22">
        <f>'01B_Findings_ID'!G64</f>
        <v/>
      </c>
      <c r="H65" s="22">
        <f>'01B_Findings_ID'!C64</f>
        <v/>
      </c>
      <c r="I65" s="23">
        <f>'01B_Findings_ID'!H64</f>
        <v/>
      </c>
    </row>
    <row r="66" ht="15" customHeight="1">
      <c r="E66" s="26">
        <f>'01B_Findings_ID'!A65</f>
        <v/>
      </c>
      <c r="F66" s="22">
        <f>'01B_Findings_ID'!F65</f>
        <v/>
      </c>
      <c r="G66" s="22">
        <f>'01B_Findings_ID'!G65</f>
        <v/>
      </c>
      <c r="H66" s="22">
        <f>'01B_Findings_ID'!C65</f>
        <v/>
      </c>
      <c r="I66" s="23">
        <f>'01B_Findings_ID'!H65</f>
        <v/>
      </c>
    </row>
    <row r="67" ht="15" customHeight="1">
      <c r="E67" s="26">
        <f>'01B_Findings_ID'!A66</f>
        <v/>
      </c>
      <c r="F67" s="22">
        <f>'01B_Findings_ID'!F66</f>
        <v/>
      </c>
      <c r="G67" s="22">
        <f>'01B_Findings_ID'!G66</f>
        <v/>
      </c>
      <c r="H67" s="22">
        <f>'01B_Findings_ID'!C66</f>
        <v/>
      </c>
      <c r="I67" s="23">
        <f>'01B_Findings_ID'!H66</f>
        <v/>
      </c>
    </row>
  </sheetData>
  <mergeCells count="7">
    <mergeCell ref="B24:C24"/>
    <mergeCell ref="A2:I2"/>
    <mergeCell ref="B25:C25"/>
    <mergeCell ref="A31:C31"/>
    <mergeCell ref="A1:I1"/>
    <mergeCell ref="A30:C30"/>
    <mergeCell ref="B26:C26"/>
  </mergeCells>
  <conditionalFormatting sqref="F6:F52">
    <cfRule type="cellIs" priority="2" operator="equal" dxfId="52">
      <formula>"Kritis"</formula>
    </cfRule>
    <cfRule type="cellIs" priority="3" operator="equal" dxfId="47">
      <formula>"Tinggi"</formula>
    </cfRule>
    <cfRule type="cellIs" priority="4" operator="equal" dxfId="64">
      <formula>"Sedang"</formula>
    </cfRule>
  </conditionalFormatting>
  <conditionalFormatting sqref="G6:G52">
    <cfRule type="cellIs" priority="5" operator="equal" dxfId="45">
      <formula>"Ya"</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97"/>
  <sheetViews>
    <sheetView showGridLines="0" zoomScaleNormal="100" workbookViewId="0">
      <selection activeCell="A1" sqref="A1"/>
    </sheetView>
  </sheetViews>
  <sheetFormatPr baseColWidth="8" defaultColWidth="8.7265625" defaultRowHeight="14.5"/>
  <cols>
    <col width="122" customWidth="1" min="1" max="1"/>
  </cols>
  <sheetData>
    <row r="1" ht="18" customHeight="1">
      <c r="A1" s="1" t="inlineStr">
        <is>
          <t>Panduan QC Tracker - AI Finance Forum</t>
        </is>
      </c>
    </row>
    <row r="2" ht="15" customHeight="1">
      <c r="A2" s="2" t="inlineStr">
        <is>
          <t>Dokumen ini menjelaskan isi workbook QC dan cara memakainya. Ditinjau 28 Juli 2026.</t>
        </is>
      </c>
    </row>
    <row r="3" ht="15" customHeight="1">
      <c r="A3" s="4" t="n"/>
    </row>
    <row r="4" ht="15" customHeight="1">
      <c r="A4" s="3" t="inlineStr">
        <is>
          <t>1. APA ITU WORKBOOK INI</t>
        </is>
      </c>
    </row>
    <row r="5" ht="15" customHeight="1">
      <c r="A5" s="4" t="inlineStr">
        <is>
          <t>Workbook ini adalah hasil pemeriksaan mutu (quality control) atas mockup AI Finance Forum, plus alat pelacak</t>
        </is>
      </c>
    </row>
    <row r="6" ht="15" customHeight="1">
      <c r="A6" s="4" t="inlineStr">
        <is>
          <t>perbaikannya. Isinya dua hal: daftar temuan yang harus diperbaiki, dan daftar pengujian yang masih harus</t>
        </is>
      </c>
    </row>
    <row r="7" ht="15" customHeight="1">
      <c r="A7" s="4" t="inlineStr">
        <is>
          <t>dijalankan secara manual sebelum demo di depan para CFO.</t>
        </is>
      </c>
    </row>
    <row r="8" ht="15" customHeight="1">
      <c r="A8" s="4" t="n"/>
    </row>
    <row r="9" ht="15" customHeight="1">
      <c r="A9" s="3" t="inlineStr">
        <is>
          <t>2. BAGAIMANA PEMERIKSAAN INI DILAKUKAN, DAN APA BATASNYA</t>
        </is>
      </c>
    </row>
    <row r="10" ht="15" customHeight="1">
      <c r="A10" s="4" t="inlineStr">
        <is>
          <t>Pemeriksaan dilakukan langsung terhadap API aplikasi yang sedang berjalan. Semua endpoint GET dibaca:</t>
        </is>
      </c>
    </row>
    <row r="11" ht="15" customHeight="1">
      <c r="A11" s="4" t="inlineStr">
        <is>
          <t>dashboard keempat agent, KPI, konfigurasi grafik, 47 alert, 47 action card, dan riwayat percakapan.</t>
        </is>
      </c>
    </row>
    <row r="12" ht="15" customHeight="1">
      <c r="A12" s="4" t="inlineStr">
        <is>
          <t>Batas yang penting untuk Anda ketahui: tombol, menu, slider simulator, kotak chat, serta tombol approve dan</t>
        </is>
      </c>
    </row>
    <row r="13" ht="15" customHeight="1">
      <c r="A13" s="4" t="inlineStr">
        <is>
          <t>simulate pada action semuanya berjalan lewat POST atau di sisi browser. Semua itu TIDAK bisa diuji dari luar.</t>
        </is>
      </c>
    </row>
    <row r="14" ht="15" customHeight="1">
      <c r="A14" s="4" t="inlineStr">
        <is>
          <t>Karena itu 31 pengujian manual disiapkan di sheet 02. Bagian tersebut masih berstatus belum diuji.</t>
        </is>
      </c>
    </row>
    <row r="15" ht="15" customHeight="1">
      <c r="A15" s="4" t="n"/>
    </row>
    <row r="16" ht="15" customHeight="1">
      <c r="A16" s="3" t="inlineStr">
        <is>
          <t>3. ANGKA RINGKAS</t>
        </is>
      </c>
    </row>
    <row r="17" ht="15" customHeight="1">
      <c r="A17" s="4" t="inlineStr">
        <is>
          <t>47 temuan, terdiri dari 6 Kritis, 23 Tinggi, 17 Sedang, dan 1 Rendah.</t>
        </is>
      </c>
    </row>
    <row r="18" ht="15" customHeight="1">
      <c r="A18" s="4" t="inlineStr">
        <is>
          <t>30 di antaranya berstatus demo blocker, artinya berisiko terlihat langsung oleh audiens CFO.</t>
        </is>
      </c>
    </row>
    <row r="19" ht="15" customHeight="1">
      <c r="A19" s="4" t="inlineStr">
        <is>
          <t>62 perhitungan direkonsiliasi ulang. 44 di antaranya BENAR dan bisa Anda pertahankan di atas panggung.</t>
        </is>
      </c>
    </row>
    <row r="20" ht="15" customHeight="1">
      <c r="A20" s="4" t="inlineStr">
        <is>
          <t>31 pengujian manual masih harus dijalankan.</t>
        </is>
      </c>
    </row>
    <row r="21" ht="15" customHeight="1">
      <c r="A21" s="4" t="n"/>
    </row>
    <row r="22" ht="15" customHeight="1">
      <c r="A22" s="3" t="inlineStr">
        <is>
          <t>4. TIGA MASALAH YANG PALING BERBAHAYA</t>
        </is>
      </c>
    </row>
    <row r="23" ht="15" customHeight="1">
      <c r="A23" s="4" t="inlineStr">
        <is>
          <t>a. Grafik kategori pada agent Leakage menampilkan nol semua (QC-001).</t>
        </is>
      </c>
    </row>
    <row r="24" ht="15" customHeight="1">
      <c r="A24" s="4" t="inlineStr">
        <is>
          <t xml:space="preserve">   Ini adalah tampilan pertama saat agent Leakage dibuka. KPI menunjukkan 7.845 mn, tetapi grafik rincian,</t>
        </is>
      </c>
    </row>
    <row r="25" ht="15" customHeight="1">
      <c r="A25" s="4" t="inlineStr">
        <is>
          <t xml:space="preserve">   donut, kolom Amount pada worklist, dan kolom At risk pada vendor radar semuanya berisi nol. Dalam sepuluh</t>
        </is>
      </c>
    </row>
    <row r="26" ht="15" customHeight="1">
      <c r="A26" s="4" t="inlineStr">
        <is>
          <t xml:space="preserve">   detik pertama, audiens akan membaca ini sebagai produk yang rusak.</t>
        </is>
      </c>
    </row>
    <row r="27" ht="15" customHeight="1">
      <c r="A27" s="4" t="n"/>
    </row>
    <row r="28" ht="15" customHeight="1">
      <c r="A28" s="4" t="inlineStr">
        <is>
          <t>b. Empat agent berjalan di atas empat batch data yang tidak berhubungan (QC-002 dan QC-003).</t>
        </is>
      </c>
    </row>
    <row r="29" ht="15" customHeight="1">
      <c r="A29" s="4" t="inlineStr">
        <is>
          <t xml:space="preserve">   Collection mengasumsikan penjualan kredit setahun 700.000 mn, sementara Finance melaporkan pendapatan</t>
        </is>
      </c>
    </row>
    <row r="30" ht="15" customHeight="1">
      <c r="A30" s="4" t="inlineStr">
        <is>
          <t xml:space="preserve">   46.510 mn. Selisihnya 15 kali lipat. Piutang 110.000 mn setara 2,4 kali seluruh pendapatan tahunan Finance.</t>
        </is>
      </c>
    </row>
    <row r="31" ht="15" customHeight="1">
      <c r="A31" s="4" t="inlineStr">
        <is>
          <t xml:space="preserve">   Begitu ada yang bertanya bagaimana DSO berhubungan dengan pendapatan, seluruh model kehilangan kredibilitas.</t>
        </is>
      </c>
    </row>
    <row r="32" ht="15" customHeight="1">
      <c r="A32" s="4" t="n"/>
    </row>
    <row r="33" ht="15" customHeight="1">
      <c r="A33" s="4" t="inlineStr">
        <is>
          <t>c. Lima action card menampilkan perhitungan yang bertentangan dengan teksnya sendiri (QC-004, QC-005, QC-016,</t>
        </is>
      </c>
    </row>
    <row r="34" ht="15" customHeight="1">
      <c r="A34" s="4" t="inlineStr">
        <is>
          <t xml:space="preserve">   QC-017, QC-019). Yang paling parah: aksi 'Defer noncritical Week 5 payable' mengklaim headroom Minggu 6</t>
        </is>
      </c>
    </row>
    <row r="35" ht="15" customHeight="1">
      <c r="A35" s="4" t="inlineStr">
        <is>
          <t xml:space="preserve">   NAIK 3.000 padahal utangnya justru dipindahkan KE Minggu 6. Tandanya terbalik. Satu aksi lain mencampur</t>
        </is>
      </c>
    </row>
    <row r="36" ht="15" customHeight="1">
      <c r="A36" s="4" t="inlineStr">
        <is>
          <t xml:space="preserve">   headroom (-1.002,5) dengan saldo kas (6.997,5) dalam satu perbandingan. Teks dampak ini ditulis manual,</t>
        </is>
      </c>
    </row>
    <row r="37" ht="15" customHeight="1">
      <c r="A37" s="4" t="inlineStr">
        <is>
          <t xml:space="preserve">   bukan dihitung dari forecast.</t>
        </is>
      </c>
    </row>
    <row r="38" ht="15" customHeight="1">
      <c r="A38" s="4" t="n"/>
    </row>
    <row r="39" ht="15" customHeight="1">
      <c r="A39" s="3" t="inlineStr">
        <is>
          <t>5. DUA HAL LAIN YANG PERLU CEPAT DITANGANI</t>
        </is>
      </c>
    </row>
    <row r="40" ht="15" customHeight="1">
      <c r="A40" s="4" t="inlineStr">
        <is>
          <t>Riwayat percakapan berisi sekitar 190 percakapan tersimpan, termasuk 'asdsad', 'hello world', dan</t>
        </is>
      </c>
    </row>
    <row r="41" ht="15" customHeight="1">
      <c r="A41" s="4" t="inlineStr">
        <is>
          <t>'test test test' (QC-006). Pastikan dibersihkan atau panelnya disembunyikan sebelum event.</t>
        </is>
      </c>
    </row>
    <row r="42" ht="15" customHeight="1">
      <c r="A42" s="4" t="inlineStr">
        <is>
          <t>Kata 'illustrative' terekspos di lima tempat dalam payload (QC-039). Memberi tahu ruangan berisi CFO bahwa</t>
        </is>
      </c>
    </row>
    <row r="43" ht="15" customHeight="1">
      <c r="A43" s="4" t="inlineStr">
        <is>
          <t>angkanya hanya ilustrasi akan meruntuhkan semua yang baru saja Anda tunjukkan.</t>
        </is>
      </c>
    </row>
    <row r="44" ht="15" customHeight="1">
      <c r="A44" s="4" t="n"/>
    </row>
    <row r="45" ht="15" customHeight="1">
      <c r="A45" s="3" t="inlineStr">
        <is>
          <t>6. SATU HAL YANG PERLU DIVERIFIKASI KE TIM DEV</t>
        </is>
      </c>
    </row>
    <row r="46" ht="15" customHeight="1">
      <c r="A46" s="4" t="inlineStr">
        <is>
          <t>Alert menyebut harga blended turun 7,6%, dari IDR 127,7k menjadi IDR 118,0k per unit. Tetapi waterfall EBITDA</t>
        </is>
      </c>
    </row>
    <row r="47" ht="15" customHeight="1">
      <c r="A47" s="4" t="inlineStr">
        <is>
          <t>hanya menampilkan langkah harga -390 mn atas pendapatan 46.510 mn. Penurunan 7,6% seharusnya berdampak sekitar</t>
        </is>
      </c>
    </row>
    <row r="48" ht="15" customHeight="1">
      <c r="A48" s="4" t="inlineStr">
        <is>
          <t>-3.800 mn. Selisihnya sepuluh kali lipat (QC-010).</t>
        </is>
      </c>
    </row>
    <row r="49" ht="15" customHeight="1">
      <c r="A49" s="4" t="inlineStr">
        <is>
          <t>Saya tidak bisa melihat model dasarnya, jadi tingkat keyakinan saya SEDANG. Namun inilah satu hal yang paling</t>
        </is>
      </c>
    </row>
    <row r="50" ht="15" customHeight="1">
      <c r="A50" s="4" t="inlineStr">
        <is>
          <t>mungkin ditangkap oleh CFO yang teliti, dan perlu diverifikasi sebelum event.</t>
        </is>
      </c>
    </row>
    <row r="51" ht="15" customHeight="1">
      <c r="A51" s="4" t="n"/>
    </row>
    <row r="52" ht="15" customHeight="1">
      <c r="A52" s="3" t="inlineStr">
        <is>
          <t>7. YANG SUDAH BENAR DAN BISA ANDA PERTAHANKAN</t>
        </is>
      </c>
    </row>
    <row r="53" ht="15" customHeight="1">
      <c r="A53" s="4" t="inlineStr">
        <is>
          <t>44 dari 62 perhitungan sudah cocok persis. Yang sudah terbukti benar:</t>
        </is>
      </c>
    </row>
    <row r="54" ht="15" customHeight="1">
      <c r="A54" s="4" t="inlineStr">
        <is>
          <t>- Laporan laba rugi Finance: pendapatan, gross margin, opex, EBITDA, dan seluruh persentasenya.</t>
        </is>
      </c>
    </row>
    <row r="55" ht="15" customHeight="1">
      <c r="A55" s="4" t="inlineStr">
        <is>
          <t>- Tabel opex: kolom aktual dan anggaran sama-sama menjumlah dengan benar, dan variansnya cocok dengan waterfall.</t>
        </is>
      </c>
    </row>
    <row r="56" ht="15" customHeight="1">
      <c r="A56" s="4" t="inlineStr">
        <is>
          <t>- Waterfall EBITDA tertutup rapi: 7.200 + 1.341 - 1.491 - 390 - 1.880 - 480 = 4.300.</t>
        </is>
      </c>
    </row>
    <row r="57" ht="15" customHeight="1">
      <c r="A57" s="4" t="inlineStr">
        <is>
          <t>- Seluruh rantai Collection: umur piutang, DSO, kas yang dibebaskan pada target, dan ketiga opsi penagihan.</t>
        </is>
      </c>
    </row>
    <row r="58" ht="15" customHeight="1">
      <c r="A58" s="4" t="inlineStr">
        <is>
          <t>- Seluruh ekonomi lindung nilai Treasury: kerugian yang dihindari, premi forward, dan opsi hedge separuh.</t>
        </is>
      </c>
    </row>
    <row r="59" ht="15" customHeight="1">
      <c r="A59" s="4" t="inlineStr">
        <is>
          <t>Rinciannya ada di sheet 03_Formula_Checks. Gunakan sheet itu untuk tahu apa yang aman Anda klaim.</t>
        </is>
      </c>
    </row>
    <row r="60" ht="15" customHeight="1">
      <c r="A60" s="4" t="n"/>
    </row>
    <row r="61" ht="15" customHeight="1">
      <c r="A61" s="3" t="inlineStr">
        <is>
          <t>8. ISI SETIAP SHEET</t>
        </is>
      </c>
    </row>
    <row r="62" ht="15" customHeight="1">
      <c r="A62" s="4" t="inlineStr">
        <is>
          <t>00_Summary                 ringkasan angka, otomatis mengikuti sheet 01. Bahasa Inggris.</t>
        </is>
      </c>
    </row>
    <row r="63" ht="15" customHeight="1">
      <c r="A63" s="4" t="inlineStr">
        <is>
          <t>00B_Panduan_Bahasa         halaman ini.</t>
        </is>
      </c>
    </row>
    <row r="64" ht="15" customHeight="1">
      <c r="A64" s="4" t="inlineStr">
        <is>
          <t>01_Findings                47 temuan versi Bahasa Inggris, lengkap dengan bukti dan akar masalah.</t>
        </is>
      </c>
    </row>
    <row r="65" ht="15" customHeight="1">
      <c r="A65" s="4" t="inlineStr">
        <is>
          <t>01B_Temuan_Bahasa          47 temuan yang sama dalam Bahasa Indonesia. Nomor QC-nya sama persis.</t>
        </is>
      </c>
    </row>
    <row r="66" ht="15" customHeight="1">
      <c r="A66" s="4" t="inlineStr">
        <is>
          <t>02_Manual_Test_Checklist   31 pengujian manual, Bahasa Inggris.</t>
        </is>
      </c>
    </row>
    <row r="67" ht="15" customHeight="1">
      <c r="A67" s="4" t="inlineStr">
        <is>
          <t>02B_Uji_Manual_Bahasa      31 pengujian manual yang sama dalam Bahasa Indonesia.</t>
        </is>
      </c>
    </row>
    <row r="68" ht="15" customHeight="1">
      <c r="A68" s="4" t="inlineStr">
        <is>
          <t>03_Formula_Checks          62 perhitungan yang direkonsiliasi, termasuk yang lulus.</t>
        </is>
      </c>
    </row>
    <row r="69" ht="15" customHeight="1">
      <c r="A69" s="4" t="inlineStr">
        <is>
          <t>04_Dataset_Requirements    permintaan data klien dibandingkan isi mockup saat ini.</t>
        </is>
      </c>
    </row>
    <row r="70" ht="15" customHeight="1">
      <c r="A70" s="4" t="inlineStr">
        <is>
          <t>05_Filter_Requirements     22 filter yang dibutuhkan aplikasi. Saat ini tidak ada satu pun.</t>
        </is>
      </c>
    </row>
    <row r="71" ht="15" customHeight="1">
      <c r="A71" s="4" t="inlineStr">
        <is>
          <t>06_Demo_Readiness_Gate     daftar go / no-go sebelum rekaman demo, Bahasa Inggris.</t>
        </is>
      </c>
    </row>
    <row r="72" ht="15" customHeight="1">
      <c r="A72" s="4" t="inlineStr">
        <is>
          <t>06B_Gerbang_Kesiapan       daftar go / no-go yang sama dalam Bahasa Indonesia.</t>
        </is>
      </c>
    </row>
    <row r="73" ht="15" customHeight="1">
      <c r="A73" s="4" t="n"/>
    </row>
    <row r="74" ht="15" customHeight="1">
      <c r="A74" s="3" t="inlineStr">
        <is>
          <t>9. CARA MEMAKAI TRACKER INI</t>
        </is>
      </c>
    </row>
    <row r="75" ht="15" customHeight="1">
      <c r="A75" s="4" t="inlineStr">
        <is>
          <t>Langkah 1. Bagikan sheet 01B ke tim dev. Setiap baris sudah berisi bukti, perilaku yang seharusnya, dan dugaan</t>
        </is>
      </c>
    </row>
    <row r="76" ht="15" customHeight="1">
      <c r="A76" s="4" t="inlineStr">
        <is>
          <t xml:space="preserve">           akar masalah, sehingga tim tidak perlu menebak.</t>
        </is>
      </c>
    </row>
    <row r="77" ht="15" customHeight="1">
      <c r="A77" s="4" t="inlineStr">
        <is>
          <t>Langkah 2. Kolom berwarna kuning adalah kolom yang Anda isi: Status, Tanggal uji ulang, Hasil uji ulang, dan</t>
        </is>
      </c>
    </row>
    <row r="78" ht="15" customHeight="1">
      <c r="A78" s="4" t="inlineStr">
        <is>
          <t xml:space="preserve">           Catatan. Kolom Status memiliki daftar pilihan.</t>
        </is>
      </c>
    </row>
    <row r="79" ht="15" customHeight="1">
      <c r="A79" s="4" t="inlineStr">
        <is>
          <t>Langkah 3. Sheet 00_Summary menghitung ulang otomatis setiap kali Status diubah. Tidak perlu rekap manual.</t>
        </is>
      </c>
    </row>
    <row r="80" ht="15" customHeight="1">
      <c r="A80" s="4" t="inlineStr">
        <is>
          <t>Langkah 4. Jalankan sheet 02B pada aplikasi live. Setiap kegagalan menjadi baris baru di sheet 01B.</t>
        </is>
      </c>
    </row>
    <row r="81" ht="15" customHeight="1">
      <c r="A81" s="4" t="inlineStr">
        <is>
          <t>Langkah 5. Jangan mulai merekam video demo sebelum semua baris 'Wajib tuntas' pada sheet 06B selesai.</t>
        </is>
      </c>
    </row>
    <row r="82" ht="15" customHeight="1">
      <c r="A82" s="4" t="n"/>
    </row>
    <row r="83" ht="15" customHeight="1">
      <c r="A83" s="3" t="inlineStr">
        <is>
          <t>10. TENTANG DATASET PENGGANTI</t>
        </is>
      </c>
    </row>
    <row r="84" ht="15" customHeight="1">
      <c r="A84" s="4" t="inlineStr">
        <is>
          <t>Dataset pengganti dikirim terpisah sebagai Dataset_AI_Finance_Forum_v1.xlsx.</t>
        </is>
      </c>
    </row>
    <row r="85" ht="15" customHeight="1">
      <c r="A85" s="4" t="inlineStr">
        <is>
          <t>Isinya 3 legal entity, 24 toko, 120 item, 12 kategori, 25.588 baris penjualan dari Jan 2025 sampai Sep 2026,</t>
        </is>
      </c>
    </row>
    <row r="86" ht="15" customHeight="1">
      <c r="A86" s="4" t="inlineStr">
        <is>
          <t>2.016 faktur piutang, 630 faktur utang usaha berikut kasus kebocoran yang nyata, dan proyeksi kas 13 minggu</t>
        </is>
      </c>
    </row>
    <row r="87" ht="15" customHeight="1">
      <c r="A87" s="4" t="inlineStr">
        <is>
          <t>yang dibangun baris per baris. Semuanya berasal dari satu ledger.</t>
        </is>
      </c>
    </row>
    <row r="88" ht="15" customHeight="1">
      <c r="A88" s="4" t="inlineStr">
        <is>
          <t>Sheet 90_Reconciliation pada file tersebut berisi 14 pemeriksaan hidup, dan keempat belasnya lulus.</t>
        </is>
      </c>
    </row>
    <row r="89" ht="15" customHeight="1">
      <c r="A89" s="4" t="inlineStr">
        <is>
          <t>Angkanya sengaja didekatkan ke cerita Anda saat ini: pendapatan sekitar 46.500 mn per bulan, gross margin</t>
        </is>
      </c>
    </row>
    <row r="90" ht="15" customHeight="1">
      <c r="A90" s="4" t="inlineStr">
        <is>
          <t>sekitar 25%, opex sekitar 16% dari pendapatan, EBITDA sekitar 8,7%, DSO 62 hari terhadap target 47 hari, dan</t>
        </is>
      </c>
    </row>
    <row r="91" ht="15" customHeight="1">
      <c r="A91" s="4" t="inlineStr">
        <is>
          <t>satu titik tekanan kas yang jelas. Storyline Anda tidak perlu ditulis ulang.</t>
        </is>
      </c>
    </row>
    <row r="92" ht="15" customHeight="1">
      <c r="A92" s="4" t="n"/>
    </row>
    <row r="93" ht="15" customHeight="1">
      <c r="A93" s="3" t="inlineStr">
        <is>
          <t>11. ASUMSI YANG SAYA AMBIL, MOHON DIKONFIRMASI KE KLIEN</t>
        </is>
      </c>
    </row>
    <row r="94" ht="15" customHeight="1">
      <c r="A94" s="4" t="inlineStr">
        <is>
          <t>- Buffer kas minimum IDR 8.000 mn.</t>
        </is>
      </c>
    </row>
    <row r="95" ht="15" customHeight="1">
      <c r="A95" s="4" t="inlineStr">
        <is>
          <t>- Target DSO 47 hari.</t>
        </is>
      </c>
    </row>
    <row r="96" ht="15" customHeight="1">
      <c r="A96" s="4" t="inlineStr">
        <is>
          <t>- Kurs spot IDR 17.950 per USD, dengan skenario pelemahan 3%.</t>
        </is>
      </c>
    </row>
    <row r="97" ht="15" customHeight="1">
      <c r="A97" s="4" t="inlineStr">
        <is>
          <t>Ketiga asumsi ini ditandai kuning di workbook dataset.</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Q66"/>
  <sheetViews>
    <sheetView showGridLines="0" zoomScaleNormal="100" workbookViewId="0">
      <pane xSplit="3" ySplit="4" topLeftCell="D59" activePane="bottomRight" state="frozen"/>
      <selection pane="topRight" activeCell="D1" sqref="D1"/>
      <selection pane="bottomLeft" activeCell="A5" sqref="A5"/>
      <selection pane="bottomRight" activeCell="H63" sqref="H63"/>
    </sheetView>
  </sheetViews>
  <sheetFormatPr baseColWidth="8" defaultColWidth="8.7265625" defaultRowHeight="14.5"/>
  <cols>
    <col width="9" customWidth="1" min="1" max="1"/>
    <col width="12" customWidth="1" min="2" max="2"/>
    <col width="18" customWidth="1" min="3" max="3"/>
    <col width="24" customWidth="1" min="4" max="4"/>
    <col width="12" customWidth="1" min="5" max="5"/>
    <col width="10" customWidth="1" min="6" max="6"/>
    <col width="11" customWidth="1" min="7" max="7"/>
    <col width="44" customWidth="1" min="8" max="8"/>
    <col width="72" customWidth="1" min="9" max="9"/>
    <col width="44" customWidth="1" min="10" max="11"/>
    <col width="20" customWidth="1" min="12" max="12"/>
    <col width="12" customWidth="1" min="13" max="13"/>
    <col width="13" customWidth="1" min="14" max="14"/>
    <col width="12" customWidth="1" min="15" max="15"/>
    <col width="13" customWidth="1" min="16" max="16"/>
    <col width="26" customWidth="1" min="17" max="17"/>
  </cols>
  <sheetData>
    <row r="1" ht="18" customHeight="1">
      <c r="A1" s="1" t="inlineStr">
        <is>
          <t>Testing listing - findings tracker</t>
        </is>
      </c>
    </row>
    <row r="2" ht="15" customHeight="1">
      <c r="A2" s="2" t="inlineStr">
        <is>
          <t>AI Finance Forum mockup. Reviewed 28 July 2026 against the live API. Update Status, Target date and Retest columns as fixes land.</t>
        </is>
      </c>
    </row>
    <row r="4" ht="23.25" customHeight="1">
      <c r="A4" s="6" t="inlineStr">
        <is>
          <t>ID</t>
        </is>
      </c>
      <c r="B4" s="6" t="inlineStr">
        <is>
          <t>Date found</t>
        </is>
      </c>
      <c r="C4" s="6" t="inlineStr">
        <is>
          <t>Agent</t>
        </is>
      </c>
      <c r="D4" s="6" t="inlineStr">
        <is>
          <t>QC area</t>
        </is>
      </c>
      <c r="E4" s="6" t="inlineStr">
        <is>
          <t>Type</t>
        </is>
      </c>
      <c r="F4" s="6" t="inlineStr">
        <is>
          <t>Severity</t>
        </is>
      </c>
      <c r="G4" s="6" t="inlineStr">
        <is>
          <t>Demo blocker</t>
        </is>
      </c>
      <c r="H4" s="6" t="inlineStr">
        <is>
          <t>Finding</t>
        </is>
      </c>
      <c r="I4" s="6" t="inlineStr">
        <is>
          <t>Evidence observed</t>
        </is>
      </c>
      <c r="J4" s="6" t="inlineStr">
        <is>
          <t>Expected behaviour</t>
        </is>
      </c>
      <c r="K4" s="6" t="inlineStr">
        <is>
          <t>Likely root cause</t>
        </is>
      </c>
      <c r="L4" s="6" t="inlineStr">
        <is>
          <t>Fix owner</t>
        </is>
      </c>
      <c r="M4" s="6" t="inlineStr">
        <is>
          <t>Target date</t>
        </is>
      </c>
      <c r="N4" s="6" t="inlineStr">
        <is>
          <t>Status</t>
        </is>
      </c>
      <c r="O4" s="6" t="inlineStr">
        <is>
          <t>Retest date</t>
        </is>
      </c>
      <c r="P4" s="6" t="inlineStr">
        <is>
          <t>Retest result</t>
        </is>
      </c>
      <c r="Q4" s="6" t="inlineStr">
        <is>
          <t>Notes</t>
        </is>
      </c>
    </row>
    <row r="5" ht="72" customHeight="1">
      <c r="A5" s="5" t="inlineStr">
        <is>
          <t>QC-001</t>
        </is>
      </c>
      <c r="B5" s="5" t="inlineStr">
        <is>
          <t>2026-07-28</t>
        </is>
      </c>
      <c r="C5" s="5" t="inlineStr">
        <is>
          <t>Leakage</t>
        </is>
      </c>
      <c r="D5" s="5" t="inlineStr">
        <is>
          <t>a. Formula consistency</t>
        </is>
      </c>
      <c r="E5" s="5" t="inlineStr">
        <is>
          <t>Data</t>
        </is>
      </c>
      <c r="F5" s="5" t="inlineStr">
        <is>
          <t>Critical</t>
        </is>
      </c>
      <c r="G5" s="5" t="inlineStr">
        <is>
          <t>Yes</t>
        </is>
      </c>
      <c r="H5" s="5" t="inlineStr">
        <is>
          <t>Leakage category chart returns all zeros</t>
        </is>
      </c>
      <c r="I5" s="5" t="inlineStr">
        <is>
          <t>GET /api/html/dashboard/finance.leakage returns views.categories.data with every value 0.0 (Bank-change fraud 0, Duplicate payment 0, Overbilling 0, Lost discount 0, Split/threshold 0). The side donut 'Leakage mix' is also all zeros, the worklist Amount column is '0' for all 10 rows, and the vendor radar 'At risk' column is '0' for all 8 vendors. Meanwhile the KPI tiles show 7,845 / 3,800 / 3,050 / 4,300.</t>
        </is>
      </c>
      <c r="J5" s="5" t="inlineStr">
        <is>
          <t>Category amounts should sum to the 7,845 mn shown on the 'Flagged this cycle' KPI.</t>
        </is>
      </c>
      <c r="K5" s="5" t="inlineStr">
        <is>
          <t>The amount column is not mapped for import batch 17. Aggregate KPIs are computed from a different query than the per-category breakdown.</t>
        </is>
      </c>
      <c r="L5" s="5" t="inlineStr">
        <is>
          <t>Backend / data</t>
        </is>
      </c>
      <c r="M5" s="5" t="inlineStr">
        <is>
          <t>2026-07-31</t>
        </is>
      </c>
      <c r="N5" s="72" t="inlineStr">
        <is>
          <t>Fixed - awaiting retest</t>
        </is>
      </c>
      <c r="O5" s="7" t="n"/>
      <c r="P5" s="7" t="n"/>
      <c r="Q5" s="7" t="inlineStr">
        <is>
          <t>Fixed 30 Jul 2026 (branch bug-fix-trial, commit 53daa2c). category_breakdowns.amount_at_risk_idr_mn was probed as amount_idr_mn, so _row_get returned None and every value became 0.0 with no error. Verified on live DB batch 17: bars 3,800 / 3,050 / 900 / 95 sum to 7,845 = the Flagged this cycle card.</t>
        </is>
      </c>
    </row>
    <row r="6" ht="72" customHeight="1">
      <c r="A6" s="5" t="inlineStr">
        <is>
          <t>QC-002</t>
        </is>
      </c>
      <c r="B6" s="5" t="inlineStr">
        <is>
          <t>2026-07-28</t>
        </is>
      </c>
      <c r="C6" s="5" t="inlineStr">
        <is>
          <t>All</t>
        </is>
      </c>
      <c r="D6" s="5" t="inlineStr">
        <is>
          <t>a. Formula consistency</t>
        </is>
      </c>
      <c r="E6" s="5" t="inlineStr">
        <is>
          <t>Architecture</t>
        </is>
      </c>
      <c r="F6" s="5" t="inlineStr">
        <is>
          <t>Critical</t>
        </is>
      </c>
      <c r="G6" s="5" t="inlineStr">
        <is>
          <t>Yes</t>
        </is>
      </c>
      <c r="H6" s="5" t="inlineStr">
        <is>
          <t>The four agents run on four unrelated data batches</t>
        </is>
      </c>
      <c r="I6" s="5" t="inlineStr">
        <is>
          <t>import_batch_id is 19 for Finance, 17 for Leakage, 11 for Collection and 2 for Treasury.</t>
        </is>
      </c>
      <c r="J6" s="5" t="inlineStr">
        <is>
          <t>One shared ledger, so any number can be traced across agents.</t>
        </is>
      </c>
      <c r="K6" s="5" t="inlineStr">
        <is>
          <t>No single source of truth. Each agent was seeded independently.</t>
        </is>
      </c>
      <c r="L6" s="5" t="inlineStr">
        <is>
          <t>Backend / data</t>
        </is>
      </c>
      <c r="M6" s="5" t="inlineStr">
        <is>
          <t>2026-07-31</t>
        </is>
      </c>
      <c r="N6" s="7" t="inlineStr">
        <is>
          <t>Open</t>
        </is>
      </c>
      <c r="O6" s="7" t="n"/>
      <c r="P6" s="7" t="n"/>
      <c r="Q6" s="7" t="n"/>
    </row>
    <row r="7" ht="72" customHeight="1">
      <c r="A7" s="5" t="inlineStr">
        <is>
          <t>QC-003</t>
        </is>
      </c>
      <c r="B7" s="5" t="inlineStr">
        <is>
          <t>2026-07-28</t>
        </is>
      </c>
      <c r="C7" s="5" t="inlineStr">
        <is>
          <t>Finance + Collection</t>
        </is>
      </c>
      <c r="D7" s="5" t="inlineStr">
        <is>
          <t>a. Formula consistency</t>
        </is>
      </c>
      <c r="E7" s="5" t="inlineStr">
        <is>
          <t>Formula</t>
        </is>
      </c>
      <c r="F7" s="5" t="inlineStr">
        <is>
          <t>Critical</t>
        </is>
      </c>
      <c r="G7" s="5" t="inlineStr">
        <is>
          <t>Yes</t>
        </is>
      </c>
      <c r="H7" s="5" t="inlineStr">
        <is>
          <t>Collection revenue base is about 15 times the Finance revenue</t>
        </is>
      </c>
      <c r="I7" s="5" t="inlineStr">
        <is>
          <t>Collection raw.summary.annual_credit_sales_idr_mn = 700,000. Finance KPI revenue = 46,510. AR of 110,000 is 2.4 times the entire Finance annual revenue.</t>
        </is>
      </c>
      <c r="J7" s="5" t="inlineStr">
        <is>
          <t>DSO must be divided by the same revenue the Finance agent reports.</t>
        </is>
      </c>
      <c r="K7" s="5" t="inlineStr">
        <is>
          <t>Two unrelated seed datasets (see the batch finding above).</t>
        </is>
      </c>
      <c r="L7" s="5" t="inlineStr">
        <is>
          <t>Backend / data</t>
        </is>
      </c>
      <c r="M7" s="5" t="inlineStr">
        <is>
          <t>2026-07-31</t>
        </is>
      </c>
      <c r="N7" s="7" t="inlineStr">
        <is>
          <t>Open</t>
        </is>
      </c>
      <c r="O7" s="7" t="n"/>
      <c r="P7" s="7" t="n"/>
      <c r="Q7" s="7" t="n"/>
    </row>
    <row r="8" ht="72" customHeight="1">
      <c r="A8" s="5" t="inlineStr">
        <is>
          <t>QC-004</t>
        </is>
      </c>
      <c r="B8" s="5" t="inlineStr">
        <is>
          <t>2026-07-28</t>
        </is>
      </c>
      <c r="C8" s="5" t="inlineStr">
        <is>
          <t>Treasury</t>
        </is>
      </c>
      <c r="D8" s="5" t="inlineStr">
        <is>
          <t>a. Formula consistency</t>
        </is>
      </c>
      <c r="E8" s="5" t="inlineStr">
        <is>
          <t>Formula</t>
        </is>
      </c>
      <c r="F8" s="5" t="inlineStr">
        <is>
          <t>Critical</t>
        </is>
      </c>
      <c r="G8" s="5" t="inlineStr">
        <is>
          <t>Yes</t>
        </is>
      </c>
      <c r="H8" s="5" t="inlineStr">
        <is>
          <t>Deferral action moves headroom the wrong way</t>
        </is>
      </c>
      <c r="I8" s="5" t="inlineStr">
        <is>
          <t>Action 'Defer noncritical Week 5 payable' shows impact 'week6 headroom: 1012.5 +3000 -&gt; 4012.5'. Moving a payable INTO Week 6 must reduce Week 6 headroom, not increase it. Its own spec also claims Week 5 cash rises above IDR 10,000 mn; 6,997.5 + 3,000 = 9,997.5.</t>
        </is>
      </c>
      <c r="J8" s="5" t="inlineStr">
        <is>
          <t>Week 5 headroom -1,002.5 -&gt; +1,997.5 and Week 6 headroom 1,012.5 -&gt; -1,987.5, so the trade-off is visible.</t>
        </is>
      </c>
      <c r="K8" s="5" t="inlineStr">
        <is>
          <t>The impact string is authored text, not computed from the forecast. Sign and week label are both wrong.</t>
        </is>
      </c>
      <c r="L8" s="5" t="inlineStr">
        <is>
          <t>Backend / agent logic</t>
        </is>
      </c>
      <c r="M8" s="5" t="inlineStr">
        <is>
          <t>2026-07-31</t>
        </is>
      </c>
      <c r="N8" s="7" t="inlineStr">
        <is>
          <t>Open</t>
        </is>
      </c>
      <c r="O8" s="7" t="n"/>
      <c r="P8" s="7" t="n"/>
      <c r="Q8" s="7" t="n"/>
    </row>
    <row r="9" ht="72" customHeight="1">
      <c r="A9" s="5" t="inlineStr">
        <is>
          <t>QC-005</t>
        </is>
      </c>
      <c r="B9" s="5" t="inlineStr">
        <is>
          <t>2026-07-28</t>
        </is>
      </c>
      <c r="C9" s="5" t="inlineStr">
        <is>
          <t>Treasury</t>
        </is>
      </c>
      <c r="D9" s="5" t="inlineStr">
        <is>
          <t>a. Formula consistency</t>
        </is>
      </c>
      <c r="E9" s="5" t="inlineStr">
        <is>
          <t>Formula</t>
        </is>
      </c>
      <c r="F9" s="5" t="inlineStr">
        <is>
          <t>Critical</t>
        </is>
      </c>
      <c r="G9" s="5" t="inlineStr">
        <is>
          <t>Yes</t>
        </is>
      </c>
      <c r="H9" s="5" t="inlineStr">
        <is>
          <t>Action mixes headroom with closing cash in one before-and-after</t>
        </is>
      </c>
      <c r="I9" s="5" t="inlineStr">
        <is>
          <t>Action 'Accelerate Customer A collection' shows 'cash buffer: -1002.5 -&gt; +6997.5'. -1,002.5 is headroom, 6,997.5 is closing cash. Its own spec says recover at least IDR 1,100 mn, which would give +97.5 headroom.</t>
        </is>
      </c>
      <c r="J9" s="5" t="inlineStr">
        <is>
          <t>One unit per metric. Either headroom -1,002.5 -&gt; +97.5, or closing cash 6,997.5 -&gt; 8,097.5.</t>
        </is>
      </c>
      <c r="K9" s="5" t="inlineStr">
        <is>
          <t>Impact strings are free text with no unit validation.</t>
        </is>
      </c>
      <c r="L9" s="5" t="inlineStr">
        <is>
          <t>Backend / agent logic</t>
        </is>
      </c>
      <c r="M9" s="5" t="inlineStr">
        <is>
          <t>2026-07-31</t>
        </is>
      </c>
      <c r="N9" s="7" t="inlineStr">
        <is>
          <t>Open</t>
        </is>
      </c>
      <c r="O9" s="7" t="n"/>
      <c r="P9" s="7" t="n"/>
      <c r="Q9" s="7" t="n"/>
    </row>
    <row r="10" ht="72" customHeight="1">
      <c r="A10" s="5" t="inlineStr">
        <is>
          <t>QC-006</t>
        </is>
      </c>
      <c r="B10" s="5" t="inlineStr">
        <is>
          <t>2026-07-28</t>
        </is>
      </c>
      <c r="C10" s="5" t="inlineStr">
        <is>
          <t>All</t>
        </is>
      </c>
      <c r="D10" s="5" t="inlineStr">
        <is>
          <t>d. Prompt &amp; response</t>
        </is>
      </c>
      <c r="E10" s="5" t="inlineStr">
        <is>
          <t>Content</t>
        </is>
      </c>
      <c r="F10" s="5" t="inlineStr">
        <is>
          <t>Critical</t>
        </is>
      </c>
      <c r="G10" s="5" t="inlineStr">
        <is>
          <t>Yes</t>
        </is>
      </c>
      <c r="H10" s="5" t="inlineStr">
        <is>
          <t>Conversation history is full of developer test messages</t>
        </is>
      </c>
      <c r="I10" s="5" t="inlineStr">
        <is>
          <t>GET /api/html/conversations returns roughly 190 saved conversations including 'test', 'asdsad', 'hello world', 'Test test test', 'selamat pagi', 'does all the right tools work?', 'gimme data', 'show me the cahrt'.</t>
        </is>
      </c>
      <c r="J10" s="5" t="inlineStr">
        <is>
          <t>A curated history containing only credible CFO questions, or the history panel hidden for the event.</t>
        </is>
      </c>
      <c r="K10" s="5" t="inlineStr">
        <is>
          <t>No separation between the development environment and the demo environment.</t>
        </is>
      </c>
      <c r="L10" s="5" t="inlineStr">
        <is>
          <t>Demo owner</t>
        </is>
      </c>
      <c r="M10" s="5" t="inlineStr">
        <is>
          <t>2026-07-31</t>
        </is>
      </c>
      <c r="N10" s="7" t="inlineStr">
        <is>
          <t>Open</t>
        </is>
      </c>
      <c r="O10" s="7" t="n"/>
      <c r="P10" s="7" t="n"/>
      <c r="Q10" s="7" t="n"/>
    </row>
    <row r="11" ht="72" customHeight="1">
      <c r="A11" s="5" t="inlineStr">
        <is>
          <t>QC-007</t>
        </is>
      </c>
      <c r="B11" s="5" t="inlineStr">
        <is>
          <t>2026-07-28</t>
        </is>
      </c>
      <c r="C11" s="5" t="inlineStr">
        <is>
          <t>Collection</t>
        </is>
      </c>
      <c r="D11" s="5" t="inlineStr">
        <is>
          <t>a. Formula consistency</t>
        </is>
      </c>
      <c r="E11" s="5" t="inlineStr">
        <is>
          <t>Formula</t>
        </is>
      </c>
      <c r="F11" s="5" t="inlineStr">
        <is>
          <t>High</t>
        </is>
      </c>
      <c r="G11" s="5" t="inlineStr">
        <is>
          <t>Yes</t>
        </is>
      </c>
      <c r="H11" s="5" t="inlineStr">
        <is>
          <t>High-risk KPI and the risk tier chart disagree on the same screen</t>
        </is>
      </c>
      <c r="I11" s="5" t="inlineStr">
        <is>
          <t>KPI 'High-risk exposure' = 2,500 mn with the label 'provision / high tier'. The 'Risk exposure by tier' chart shows High = 5,000 mn.</t>
        </is>
      </c>
      <c r="J11" s="5" t="inlineStr">
        <is>
          <t>Either the KPI is renamed 'High-risk provision', or it shows 5,000 to match the chart.</t>
        </is>
      </c>
      <c r="K11" s="5" t="inlineStr">
        <is>
          <t>The KPI reads the provision field while the chart reads the exposure field. Same label, two meanings.</t>
        </is>
      </c>
      <c r="L11" s="5" t="inlineStr">
        <is>
          <t>Backend / agent logic</t>
        </is>
      </c>
      <c r="M11" s="5" t="inlineStr">
        <is>
          <t>2026-08-04</t>
        </is>
      </c>
      <c r="N11" s="72" t="inlineStr">
        <is>
          <t>Fixed - awaiting retest</t>
        </is>
      </c>
      <c r="O11" s="7" t="n"/>
      <c r="P11" s="7" t="n"/>
      <c r="Q11" s="7" t="inlineStr">
        <is>
          <t>Fixed 30 Jul 2026 (commit 53daa2c). The card showed high_risk_provision (2,500) under a label reading 'exposure'. It now shows the High tier exposure (5,000), which equals the chart bar, with the provision moved to the caption.</t>
        </is>
      </c>
    </row>
    <row r="12" ht="72" customHeight="1">
      <c r="A12" s="5" t="inlineStr">
        <is>
          <t>QC-008</t>
        </is>
      </c>
      <c r="B12" s="5" t="inlineStr">
        <is>
          <t>2026-07-28</t>
        </is>
      </c>
      <c r="C12" s="5" t="inlineStr">
        <is>
          <t>Collection</t>
        </is>
      </c>
      <c r="D12" s="5" t="inlineStr">
        <is>
          <t>a. Formula consistency</t>
        </is>
      </c>
      <c r="E12" s="5" t="inlineStr">
        <is>
          <t>Definition</t>
        </is>
      </c>
      <c r="F12" s="5" t="inlineStr">
        <is>
          <t>High</t>
        </is>
      </c>
      <c r="G12" s="5" t="inlineStr">
        <is>
          <t>Yes</t>
        </is>
      </c>
      <c r="H12" s="5" t="inlineStr">
        <is>
          <t>'Top 5' is defined three different ways inside one agent</t>
        </is>
      </c>
      <c r="I12" s="5" t="inlineStr">
        <is>
          <t>Options chart 'Top 5 - 46d' uses worklist rows 1 to 5 (21,300 mn recovery). Alert 'DSO gap and overdue concentration' uses top 5 by overdue amount (27,000 mn, 71.17%). Alert 'Mid-tier accounts can unlock most DSO gap' uses top 5 by expected recovery (23,225 mn).</t>
        </is>
      </c>
      <c r="J12" s="5" t="inlineStr">
        <is>
          <t>One definition, stated on screen.</t>
        </is>
      </c>
      <c r="K12" s="5" t="inlineStr">
        <is>
          <t>Each surface computes its own ranking.</t>
        </is>
      </c>
      <c r="L12" s="5" t="inlineStr">
        <is>
          <t>Backend / agent logic</t>
        </is>
      </c>
      <c r="M12" s="5" t="inlineStr">
        <is>
          <t>2026-08-04</t>
        </is>
      </c>
      <c r="N12" s="7" t="inlineStr">
        <is>
          <t>Open</t>
        </is>
      </c>
      <c r="O12" s="7" t="n"/>
      <c r="P12" s="7" t="n"/>
      <c r="Q12" s="7" t="n"/>
    </row>
    <row r="13" ht="72" customHeight="1">
      <c r="A13" s="5" t="inlineStr">
        <is>
          <t>QC-009</t>
        </is>
      </c>
      <c r="B13" s="5" t="inlineStr">
        <is>
          <t>2026-07-28</t>
        </is>
      </c>
      <c r="C13" s="5" t="inlineStr">
        <is>
          <t>Finance</t>
        </is>
      </c>
      <c r="D13" s="5" t="inlineStr">
        <is>
          <t>a. Formula consistency</t>
        </is>
      </c>
      <c r="E13" s="5" t="inlineStr">
        <is>
          <t>Formula</t>
        </is>
      </c>
      <c r="F13" s="5" t="inlineStr">
        <is>
          <t>High</t>
        </is>
      </c>
      <c r="G13" s="5" t="inlineStr">
        <is>
          <t>Yes</t>
        </is>
      </c>
      <c r="H13" s="5" t="inlineStr">
        <is>
          <t>Two different EBITDA margin targets are in use</t>
        </is>
      </c>
      <c r="I13" s="5" t="inlineStr">
        <is>
          <t>The KPI tile and the simulator gauge both say 'target 15%'. The alert 'Price recovery opportunity' says the budget margin is 15.7% (budget EBITDA 7,200 / budget revenue 46,000 = 15.65%).</t>
        </is>
      </c>
      <c r="J13" s="5" t="inlineStr">
        <is>
          <t>One target. If budget is the reference, use 15.7% everywhere.</t>
        </is>
      </c>
      <c r="K13" s="5" t="inlineStr">
        <is>
          <t>The gauge target is hardcoded to a round 15% while the alerts compute it from the budget.</t>
        </is>
      </c>
      <c r="L13" s="5" t="inlineStr">
        <is>
          <t>Backend / agent logic</t>
        </is>
      </c>
      <c r="M13" s="5" t="inlineStr">
        <is>
          <t>2026-08-04</t>
        </is>
      </c>
      <c r="N13" s="72" t="inlineStr">
        <is>
          <t>Fixed - awaiting retest</t>
        </is>
      </c>
      <c r="O13" s="7" t="n"/>
      <c r="P13" s="7" t="n"/>
      <c r="Q13" s="7" t="inlineStr">
        <is>
          <t>Fixed 30 Jul 2026 (commit f448e66). The target now comes from the budget row (7,200 / 46,000 = 15.65%) and is threaded through the card caption, gauge label, simulator baseline and the recalculate endpoint. NOTE: formula check #18 expects 9.2/15 = 0.6133; with one target it becomes 9.2/15.65 = 0.586, so that check needs updating.</t>
        </is>
      </c>
    </row>
    <row r="14" ht="72" customHeight="1">
      <c r="A14" s="5" t="inlineStr">
        <is>
          <t>QC-010</t>
        </is>
      </c>
      <c r="B14" s="5" t="inlineStr">
        <is>
          <t>2026-07-28</t>
        </is>
      </c>
      <c r="C14" s="5" t="inlineStr">
        <is>
          <t>Finance</t>
        </is>
      </c>
      <c r="D14" s="5" t="inlineStr">
        <is>
          <t>a. Formula consistency</t>
        </is>
      </c>
      <c r="E14" s="5" t="inlineStr">
        <is>
          <t>Formula</t>
        </is>
      </c>
      <c r="F14" s="5" t="inlineStr">
        <is>
          <t>High</t>
        </is>
      </c>
      <c r="G14" s="5" t="inlineStr">
        <is>
          <t>Yes</t>
        </is>
      </c>
      <c r="H14" s="5" t="inlineStr">
        <is>
          <t>Price variance is roughly ten times too small for the stated price decline</t>
        </is>
      </c>
      <c r="I14" s="5" t="inlineStr">
        <is>
          <t>Alerts state blended price fell 7.6%, from IDR 127.7k to IDR 118.0k per unit. The EBITDA waterfall shows a price step of only -390 mn on revenue of 46,510 mn. A 7.6% blended price decline implies roughly -3,800 mn.</t>
        </is>
      </c>
      <c r="J14" s="5" t="inlineStr">
        <is>
          <t>The price step and the stated percentage decline must be derived from the same calculation.</t>
        </is>
      </c>
      <c r="K14" s="5" t="inlineStr">
        <is>
          <t>The waterfall steps and the alert narrative are generated from different sources. Needs verification against the underlying model.</t>
        </is>
      </c>
      <c r="L14" s="5" t="inlineStr">
        <is>
          <t>Backend / agent logic</t>
        </is>
      </c>
      <c r="M14" s="5" t="inlineStr">
        <is>
          <t>2026-08-04</t>
        </is>
      </c>
      <c r="N14" s="7" t="inlineStr">
        <is>
          <t>Open</t>
        </is>
      </c>
      <c r="O14" s="7" t="n"/>
      <c r="P14" s="7" t="n"/>
      <c r="Q14" s="7" t="n"/>
    </row>
    <row r="15" ht="72" customHeight="1">
      <c r="A15" s="5" t="inlineStr">
        <is>
          <t>QC-011</t>
        </is>
      </c>
      <c r="B15" s="5" t="inlineStr">
        <is>
          <t>2026-07-28</t>
        </is>
      </c>
      <c r="C15" s="5" t="inlineStr">
        <is>
          <t>Finance</t>
        </is>
      </c>
      <c r="D15" s="5" t="inlineStr">
        <is>
          <t>a. Formula consistency</t>
        </is>
      </c>
      <c r="E15" s="5" t="inlineStr">
        <is>
          <t>Formula</t>
        </is>
      </c>
      <c r="F15" s="5" t="inlineStr">
        <is>
          <t>High</t>
        </is>
      </c>
      <c r="G15" s="5" t="inlineStr">
        <is>
          <t>Yes</t>
        </is>
      </c>
      <c r="H15" s="5" t="inlineStr">
        <is>
          <t>COGS variance is stated as two different numbers</t>
        </is>
      </c>
      <c r="I15" s="5" t="inlineStr">
        <is>
          <t>Alerts and actions use IDR 2,930 mn of COGS overrun. The EBITDA waterfall shows the Cost and FX step as -1,880 mn.</t>
        </is>
      </c>
      <c r="J15" s="5" t="inlineStr">
        <is>
          <t>One cost variance figure across the waterfall, the alerts and the action cards.</t>
        </is>
      </c>
      <c r="K15" s="5" t="inlineStr">
        <is>
          <t>The waterfall may net FX into cost while the alert reports gross cost. Not reconciled either way.</t>
        </is>
      </c>
      <c r="L15" s="5" t="inlineStr">
        <is>
          <t>Backend / agent logic</t>
        </is>
      </c>
      <c r="M15" s="5" t="inlineStr">
        <is>
          <t>2026-08-04</t>
        </is>
      </c>
      <c r="N15" s="7" t="inlineStr">
        <is>
          <t>Open</t>
        </is>
      </c>
      <c r="O15" s="7" t="n"/>
      <c r="P15" s="7" t="n"/>
      <c r="Q15" s="7" t="n"/>
    </row>
    <row r="16" ht="72" customHeight="1">
      <c r="A16" s="5" t="inlineStr">
        <is>
          <t>QC-012</t>
        </is>
      </c>
      <c r="B16" s="5" t="inlineStr">
        <is>
          <t>2026-07-28</t>
        </is>
      </c>
      <c r="C16" s="5" t="inlineStr">
        <is>
          <t>Finance</t>
        </is>
      </c>
      <c r="D16" s="5" t="inlineStr">
        <is>
          <t>d. Prompt &amp; response</t>
        </is>
      </c>
      <c r="E16" s="5" t="inlineStr">
        <is>
          <t>Content</t>
        </is>
      </c>
      <c r="F16" s="5" t="inlineStr">
        <is>
          <t>High</t>
        </is>
      </c>
      <c r="G16" s="5" t="inlineStr">
        <is>
          <t>No</t>
        </is>
      </c>
      <c r="H16" s="5" t="inlineStr">
        <is>
          <t>Two near-identical numbers mean two different things</t>
        </is>
      </c>
      <c r="I16" s="5" t="inlineStr">
        <is>
          <t>Cost and FX step = -1,880 mn. Mix plus price = -1,491 + -390 = -1,881 mn, and an alert reports 'IDR 1,881mn combined profitability loss'.</t>
        </is>
      </c>
      <c r="J16" s="5" t="inlineStr">
        <is>
          <t>Separate the two on screen, or round them differently so they cannot be confused live.</t>
        </is>
      </c>
      <c r="K16" s="5" t="inlineStr">
        <is>
          <t>Coincidence in the seed data, but it will cause confusion on stage.</t>
        </is>
      </c>
      <c r="L16" s="5" t="inlineStr">
        <is>
          <t>Demo owner</t>
        </is>
      </c>
      <c r="M16" s="5" t="inlineStr">
        <is>
          <t>2026-08-04</t>
        </is>
      </c>
      <c r="N16" s="7" t="inlineStr">
        <is>
          <t>Open</t>
        </is>
      </c>
      <c r="O16" s="7" t="n"/>
      <c r="P16" s="7" t="n"/>
      <c r="Q16" s="7" t="n"/>
    </row>
    <row r="17" ht="150" customHeight="1">
      <c r="A17" s="5" t="inlineStr">
        <is>
          <t>QC-013</t>
        </is>
      </c>
      <c r="B17" s="5" t="inlineStr">
        <is>
          <t>2026-07-28</t>
        </is>
      </c>
      <c r="C17" s="5" t="inlineStr">
        <is>
          <t>Leakage</t>
        </is>
      </c>
      <c r="D17" s="5" t="inlineStr">
        <is>
          <t>a. Formula consistency</t>
        </is>
      </c>
      <c r="E17" s="5" t="inlineStr">
        <is>
          <t>Formula</t>
        </is>
      </c>
      <c r="F17" s="5" t="inlineStr">
        <is>
          <t>Medium</t>
        </is>
      </c>
      <c r="G17" s="5" t="inlineStr">
        <is>
          <t>No</t>
        </is>
      </c>
      <c r="H17" s="5" t="inlineStr">
        <is>
          <t>The bar labelled 'Current 95%' does not show the current position</t>
        </is>
      </c>
      <c r="I17" s="5" t="inlineStr">
        <is>
          <t>In the Leakage 'Recovery scenario' chart the third bar is labelled 'Current 95%' and equals 7,577.5. It applies 95% to duplicates and overbilling together. The real current position applies 95% to duplicates and 90% to overbilling, which gives 7,557.5. That is the figure the 'Total protected' KPI (7,558) and the side chart 'Protected vs at risk' (7,557.5) both carry. Difference = 400 x 5% = 20 mn. IMPORTANT: this is not visible to the eye. The KPI and the side chart agree with each other, so a side-by-side glance looks correct. Only the recovery chart differs, and 20 out of 7,578 is 0.26%. It surfaces in a tooltip, a data label, or when someone asks the agent for the number.</t>
        </is>
      </c>
      <c r="J17" s="5" t="inlineStr">
        <is>
          <t>The 'Current' bar uses the same assumption set as the KPI and reads 7,557.5. Alternatively rename the bar to '95% across the board' so it stops claiming to be the current position.</t>
        </is>
      </c>
      <c r="K17" s="5" t="inlineStr">
        <is>
          <t>The recovery chart hardcodes one claw-back rate across all recoverable items. The simulator baseline uses two separate rates. Neither is wrong on its own; the label 'Current' is what makes the chart incorrect.</t>
        </is>
      </c>
      <c r="L17" s="5" t="inlineStr">
        <is>
          <t>Backend / agent logic</t>
        </is>
      </c>
      <c r="M17" s="5" t="inlineStr">
        <is>
          <t>2026-08-11</t>
        </is>
      </c>
      <c r="N17" s="72" t="inlineStr">
        <is>
          <t>Fixed - awaiting retest</t>
        </is>
      </c>
      <c r="O17" s="7" t="n"/>
      <c r="P17" s="7" t="n"/>
      <c r="Q17" s="7" t="inlineStr">
        <is>
          <t>Severity lowered from High to Medium on 28 Jul 2026 after re-checking with Susan. Reason: the gap is not visible to the eye and is not a demo blocker. The defect is still real and still needs fixing. | Fixed 30 Jul 2026 (commit 53daa2c). The bar is now labelled 'Current 95/90%' and reuses the Total protected card value (7,557.5) instead of recomputing it at 95/95 (7,577.5).</t>
        </is>
      </c>
    </row>
    <row r="18" ht="72" customHeight="1">
      <c r="A18" s="5" t="inlineStr">
        <is>
          <t>QC-014</t>
        </is>
      </c>
      <c r="B18" s="5" t="inlineStr">
        <is>
          <t>2026-07-28</t>
        </is>
      </c>
      <c r="C18" s="5" t="inlineStr">
        <is>
          <t>Leakage</t>
        </is>
      </c>
      <c r="D18" s="5" t="inlineStr">
        <is>
          <t>a. Formula consistency</t>
        </is>
      </c>
      <c r="E18" s="5" t="inlineStr">
        <is>
          <t>Formula</t>
        </is>
      </c>
      <c r="F18" s="5" t="inlineStr">
        <is>
          <t>High</t>
        </is>
      </c>
      <c r="G18" s="5" t="inlineStr">
        <is>
          <t>Yes</t>
        </is>
      </c>
      <c r="H18" s="5" t="inlineStr">
        <is>
          <t>Flag count on the KPI does not match the tables</t>
        </is>
      </c>
      <c r="I18" s="5" t="inlineStr">
        <is>
          <t>KPI 'Flagged this cycle' says '22 flags'. The action worklist lists 10 rows and the vendor radar totals 10 flags across 8 vendors.</t>
        </is>
      </c>
      <c r="J18" s="5" t="inlineStr">
        <is>
          <t>The count on the KPI equals the number of rows a user can actually open.</t>
        </is>
      </c>
      <c r="K18" s="5" t="inlineStr">
        <is>
          <t>The KPI counts raw exceptions while the tables show a filtered top-N with no 'showing 10 of 22' label.</t>
        </is>
      </c>
      <c r="L18" s="5" t="inlineStr">
        <is>
          <t>Backend / agent logic</t>
        </is>
      </c>
      <c r="M18" s="5" t="inlineStr">
        <is>
          <t>2026-08-04</t>
        </is>
      </c>
      <c r="N18" s="72" t="inlineStr">
        <is>
          <t>Fixed - awaiting retest</t>
        </is>
      </c>
      <c r="O18" s="7" t="n"/>
      <c r="P18" s="7" t="n"/>
      <c r="Q18" s="7" t="inlineStr">
        <is>
          <t>Fixed 30 Jul 2026 (commit 53daa2c). The KPI now reads summary.items_flagged (10). The 22 came from len(anomalies), which is LIMIT 30 and includes rows that are not flagged.</t>
        </is>
      </c>
    </row>
    <row r="19" ht="72" customHeight="1">
      <c r="A19" s="5" t="inlineStr">
        <is>
          <t>QC-015</t>
        </is>
      </c>
      <c r="B19" s="5" t="inlineStr">
        <is>
          <t>2026-07-28</t>
        </is>
      </c>
      <c r="C19" s="5" t="inlineStr">
        <is>
          <t>Leakage</t>
        </is>
      </c>
      <c r="D19" s="5" t="inlineStr">
        <is>
          <t>a. Formula consistency</t>
        </is>
      </c>
      <c r="E19" s="5" t="inlineStr">
        <is>
          <t>Formula</t>
        </is>
      </c>
      <c r="F19" s="5" t="inlineStr">
        <is>
          <t>High</t>
        </is>
      </c>
      <c r="G19" s="5" t="inlineStr">
        <is>
          <t>Yes</t>
        </is>
      </c>
      <c r="H19" s="5" t="inlineStr">
        <is>
          <t>Split-invoice exposure sits in the chart but outside the total</t>
        </is>
      </c>
      <c r="I19" s="5" t="inlineStr">
        <is>
          <t>At risk = 7,845 = fraud 3,800 + duplicates 3,050 + overbilling 400 + other blocked 500 + lost 95. The alert 'Split invoice threshold evasion' reports IDR 1,950 mn, and 'Split / threshold' is one of the five chart categories, yet 1,950 is not in the 7,845.</t>
        </is>
      </c>
      <c r="J19" s="5" t="inlineStr">
        <is>
          <t>Either at risk becomes 9,795, or split invoices are excluded from the chart and explained.</t>
        </is>
      </c>
      <c r="K19" s="5" t="inlineStr">
        <is>
          <t>The at-risk aggregate was built before split-threshold detection was added.</t>
        </is>
      </c>
      <c r="L19" s="5" t="inlineStr">
        <is>
          <t>Backend / agent logic</t>
        </is>
      </c>
      <c r="M19" s="5" t="inlineStr">
        <is>
          <t>2026-08-04</t>
        </is>
      </c>
      <c r="N19" s="73" t="inlineStr">
        <is>
          <t>In progress</t>
        </is>
      </c>
      <c r="O19" s="7" t="n"/>
      <c r="P19" s="7" t="n"/>
      <c r="Q19" s="7" t="inlineStr">
        <is>
          <t>Partly fixed 30 Jul 2026 (commit 53daa2c). The dashboard no longer contradicts itself: rows with is_direct_loss = false are out of the category bar and mix donut, so both sum to 7,845, and the 1,950 is named in the chart note. The alert wording has NOT been checked yet.</t>
        </is>
      </c>
    </row>
    <row r="20" ht="72" customHeight="1">
      <c r="A20" s="5" t="inlineStr">
        <is>
          <t>QC-016</t>
        </is>
      </c>
      <c r="B20" s="5" t="inlineStr">
        <is>
          <t>2026-07-28</t>
        </is>
      </c>
      <c r="C20" s="5" t="inlineStr">
        <is>
          <t>Collection</t>
        </is>
      </c>
      <c r="D20" s="5" t="inlineStr">
        <is>
          <t>a. Formula consistency</t>
        </is>
      </c>
      <c r="E20" s="5" t="inlineStr">
        <is>
          <t>Formula</t>
        </is>
      </c>
      <c r="F20" s="5" t="inlineStr">
        <is>
          <t>High</t>
        </is>
      </c>
      <c r="G20" s="5" t="inlineStr">
        <is>
          <t>Yes</t>
        </is>
      </c>
      <c r="H20" s="5" t="inlineStr">
        <is>
          <t>Action impact does not match its own recommendation</t>
        </is>
      </c>
      <c r="I20" s="5" t="inlineStr">
        <is>
          <t>Action 'Accelerate top overdue collections' spec says collect at least IDR 20,000 mn. Impact says 'DSO: 57.36 -5.21 -&gt; 52.14'. -5.21 days corresponds to 10,000 mn (10,000 / 1,917.8). 20,000 mn gives -10.43 days.</t>
        </is>
      </c>
      <c r="J20" s="5" t="inlineStr">
        <is>
          <t>Impact recomputed from the amount in the spec.</t>
        </is>
      </c>
      <c r="K20" s="5" t="inlineStr">
        <is>
          <t>Impact string copied from a different action.</t>
        </is>
      </c>
      <c r="L20" s="5" t="inlineStr">
        <is>
          <t>Backend / agent logic</t>
        </is>
      </c>
      <c r="M20" s="5" t="inlineStr">
        <is>
          <t>2026-08-04</t>
        </is>
      </c>
      <c r="N20" s="7" t="inlineStr">
        <is>
          <t>Open</t>
        </is>
      </c>
      <c r="O20" s="7" t="n"/>
      <c r="P20" s="7" t="n"/>
      <c r="Q20" s="7" t="n"/>
    </row>
    <row r="21" ht="72" customHeight="1">
      <c r="A21" s="5" t="inlineStr">
        <is>
          <t>QC-017</t>
        </is>
      </c>
      <c r="B21" s="5" t="inlineStr">
        <is>
          <t>2026-07-28</t>
        </is>
      </c>
      <c r="C21" s="5" t="inlineStr">
        <is>
          <t>Treasury</t>
        </is>
      </c>
      <c r="D21" s="5" t="inlineStr">
        <is>
          <t>a. Formula consistency</t>
        </is>
      </c>
      <c r="E21" s="5" t="inlineStr">
        <is>
          <t>Formula</t>
        </is>
      </c>
      <c r="F21" s="5" t="inlineStr">
        <is>
          <t>High</t>
        </is>
      </c>
      <c r="G21" s="5" t="inlineStr">
        <is>
          <t>Yes</t>
        </is>
      </c>
      <c r="H21" s="5" t="inlineStr">
        <is>
          <t>Combined action shows only part of its own effect</t>
        </is>
      </c>
      <c r="I21" s="5" t="inlineStr">
        <is>
          <t>Action 'Bridge Week 5 funding gap' spec says accelerate 2,000 mn plus defer 3,000 mn, which is 5,000 mn. Impact shows 'headroom: -1002.5 -&gt; +1997.5', a movement of only 3,000 mn.</t>
        </is>
      </c>
      <c r="J21" s="5" t="inlineStr">
        <is>
          <t>-1,002.5 -&gt; +3,997.5.</t>
        </is>
      </c>
      <c r="K21" s="5" t="inlineStr">
        <is>
          <t>Only the deferral leg is being computed.</t>
        </is>
      </c>
      <c r="L21" s="5" t="inlineStr">
        <is>
          <t>Backend / agent logic</t>
        </is>
      </c>
      <c r="M21" s="5" t="inlineStr">
        <is>
          <t>2026-08-04</t>
        </is>
      </c>
      <c r="N21" s="7" t="inlineStr">
        <is>
          <t>Open</t>
        </is>
      </c>
      <c r="O21" s="7" t="n"/>
      <c r="P21" s="7" t="n"/>
      <c r="Q21" s="7" t="n"/>
    </row>
    <row r="22" ht="72" customHeight="1">
      <c r="A22" s="5" t="inlineStr">
        <is>
          <t>QC-018</t>
        </is>
      </c>
      <c r="B22" s="5" t="inlineStr">
        <is>
          <t>2026-07-28</t>
        </is>
      </c>
      <c r="C22" s="5" t="inlineStr">
        <is>
          <t>Collection</t>
        </is>
      </c>
      <c r="D22" s="5" t="inlineStr">
        <is>
          <t>a. Formula consistency</t>
        </is>
      </c>
      <c r="E22" s="5" t="inlineStr">
        <is>
          <t>Labelling</t>
        </is>
      </c>
      <c r="F22" s="5" t="inlineStr">
        <is>
          <t>High</t>
        </is>
      </c>
      <c r="G22" s="5" t="inlineStr">
        <is>
          <t>No</t>
        </is>
      </c>
      <c r="H22" s="5" t="inlineStr">
        <is>
          <t>Action labels the top-2 concentration as the overall overdue share</t>
        </is>
      </c>
      <c r="I22" s="5" t="inlineStr">
        <is>
          <t>Action 'Escalate concentrated exposures' shows 'Overdue share: 43.5% -10% -&gt; 33.5%'. The dashboard overdue share is 34.5% (37,935 / 110,000). 43.5% is the top-2 share of overdue (16,500 / 37,935).</t>
        </is>
      </c>
      <c r="J22" s="5" t="inlineStr">
        <is>
          <t>Label it 'Top-2 share of overdue'.</t>
        </is>
      </c>
      <c r="K22" s="5" t="inlineStr">
        <is>
          <t>Reused metric name for a different denominator.</t>
        </is>
      </c>
      <c r="L22" s="5" t="inlineStr">
        <is>
          <t>Backend / agent logic</t>
        </is>
      </c>
      <c r="M22" s="5" t="inlineStr">
        <is>
          <t>2026-08-04</t>
        </is>
      </c>
      <c r="N22" s="7" t="inlineStr">
        <is>
          <t>Open</t>
        </is>
      </c>
      <c r="O22" s="7" t="n"/>
      <c r="P22" s="7" t="n"/>
      <c r="Q22" s="7" t="n"/>
    </row>
    <row r="23" ht="72" customHeight="1">
      <c r="A23" s="5" t="inlineStr">
        <is>
          <t>QC-019</t>
        </is>
      </c>
      <c r="B23" s="5" t="inlineStr">
        <is>
          <t>2026-07-28</t>
        </is>
      </c>
      <c r="C23" s="5" t="inlineStr">
        <is>
          <t>Treasury</t>
        </is>
      </c>
      <c r="D23" s="5" t="inlineStr">
        <is>
          <t>a. Formula consistency</t>
        </is>
      </c>
      <c r="E23" s="5" t="inlineStr">
        <is>
          <t>Formula</t>
        </is>
      </c>
      <c r="F23" s="5" t="inlineStr">
        <is>
          <t>High</t>
        </is>
      </c>
      <c r="G23" s="5" t="inlineStr">
        <is>
          <t>Yes</t>
        </is>
      </c>
      <c r="H23" s="5" t="inlineStr">
        <is>
          <t>Credit line action is anchored to the wrong week</t>
        </is>
      </c>
      <c r="I23" s="5" t="inlineStr">
        <is>
          <t>Action 'Pre-arrange contingent credit capacity' uses baseline 1,012.5, which is Week 6 headroom. The breach is in Week 5 at -1,002.5. Its spec then targets a buffer above 4,000 mn.</t>
        </is>
      </c>
      <c r="J23" s="5" t="inlineStr">
        <is>
          <t>Baseline -1,002.5 (Week 5), result +1,997.5 after a 3,000 mn draw.</t>
        </is>
      </c>
      <c r="K23" s="5" t="inlineStr">
        <is>
          <t>Wrong week selected as the baseline.</t>
        </is>
      </c>
      <c r="L23" s="5" t="inlineStr">
        <is>
          <t>Backend / agent logic</t>
        </is>
      </c>
      <c r="M23" s="5" t="inlineStr">
        <is>
          <t>2026-08-04</t>
        </is>
      </c>
      <c r="N23" s="7" t="inlineStr">
        <is>
          <t>Open</t>
        </is>
      </c>
      <c r="O23" s="7" t="n"/>
      <c r="P23" s="7" t="n"/>
      <c r="Q23" s="7" t="n"/>
    </row>
    <row r="24" ht="72" customHeight="1">
      <c r="A24" s="5" t="inlineStr">
        <is>
          <t>QC-020</t>
        </is>
      </c>
      <c r="B24" s="5" t="inlineStr">
        <is>
          <t>2026-07-28</t>
        </is>
      </c>
      <c r="C24" s="5" t="inlineStr">
        <is>
          <t>All</t>
        </is>
      </c>
      <c r="D24" s="5" t="inlineStr">
        <is>
          <t>c. Button / menu / function</t>
        </is>
      </c>
      <c r="E24" s="5" t="inlineStr">
        <is>
          <t>Integration</t>
        </is>
      </c>
      <c r="F24" s="5" t="inlineStr">
        <is>
          <t>High</t>
        </is>
      </c>
      <c r="G24" s="5" t="inlineStr">
        <is>
          <t>Yes</t>
        </is>
      </c>
      <c r="H24" s="5" t="inlineStr">
        <is>
          <t>Agent keys are inconsistent between endpoints</t>
        </is>
      </c>
      <c r="I24" s="5" t="inlineStr">
        <is>
          <t>/api/html/agents returns finance.collection and finance.treasury. The dashboard payload returns agent 'collections' and 'treasury'. /api/actions and /api/alerts use 'collection' and 'cashflow'.</t>
        </is>
      </c>
      <c r="J24" s="5" t="inlineStr">
        <is>
          <t>One canonical key per agent across every endpoint.</t>
        </is>
      </c>
      <c r="K24" s="5" t="inlineStr">
        <is>
          <t>Naming drift between the agent registry, the dashboard service and the alert or action service. Any join on agent name will silently return an empty list for Treasury.</t>
        </is>
      </c>
      <c r="L24" s="5" t="inlineStr">
        <is>
          <t>Backend</t>
        </is>
      </c>
      <c r="M24" s="5" t="inlineStr">
        <is>
          <t>2026-08-04</t>
        </is>
      </c>
      <c r="N24" s="7" t="inlineStr">
        <is>
          <t>Open</t>
        </is>
      </c>
      <c r="O24" s="7" t="n"/>
      <c r="P24" s="7" t="n"/>
      <c r="Q24" s="7" t="n"/>
    </row>
    <row r="25" ht="72" customHeight="1">
      <c r="A25" s="5" t="inlineStr">
        <is>
          <t>QC-021</t>
        </is>
      </c>
      <c r="B25" s="5" t="inlineStr">
        <is>
          <t>2026-07-28</t>
        </is>
      </c>
      <c r="C25" s="5" t="inlineStr">
        <is>
          <t>All</t>
        </is>
      </c>
      <c r="D25" s="5" t="inlineStr">
        <is>
          <t>d. Prompt &amp; response</t>
        </is>
      </c>
      <c r="E25" s="5" t="inlineStr">
        <is>
          <t>Content</t>
        </is>
      </c>
      <c r="F25" s="5" t="inlineStr">
        <is>
          <t>High</t>
        </is>
      </c>
      <c r="G25" s="5" t="inlineStr">
        <is>
          <t>Yes</t>
        </is>
      </c>
      <c r="H25" s="5" t="inlineStr">
        <is>
          <t>47 action cards with heavy duplication</t>
        </is>
      </c>
      <c r="I25" s="5" t="inlineStr">
        <is>
          <t>Finance has at least five near-identical actions to rebalance mix toward higher-margin SKUs. Leakage has three near-identical 'Launch duplicate payment recovery' cards. Collection has four cards on the same two customers.</t>
        </is>
      </c>
      <c r="J25" s="5" t="inlineStr">
        <is>
          <t>Deduplicate to roughly three to five distinct actions per agent for the demo.</t>
        </is>
      </c>
      <c r="K25" s="5" t="inlineStr">
        <is>
          <t>Actions are generated per alert with no clustering step, and the alerts are themselves duplicated.</t>
        </is>
      </c>
      <c r="L25" s="5" t="inlineStr">
        <is>
          <t>Backend / agent logic</t>
        </is>
      </c>
      <c r="M25" s="5" t="inlineStr">
        <is>
          <t>2026-08-04</t>
        </is>
      </c>
      <c r="N25" s="7" t="inlineStr">
        <is>
          <t>Open</t>
        </is>
      </c>
      <c r="O25" s="7" t="n"/>
      <c r="P25" s="7" t="n"/>
      <c r="Q25" s="7" t="n"/>
    </row>
    <row r="26" ht="72" customHeight="1">
      <c r="A26" s="5" t="inlineStr">
        <is>
          <t>QC-022</t>
        </is>
      </c>
      <c r="B26" s="5" t="inlineStr">
        <is>
          <t>2026-07-28</t>
        </is>
      </c>
      <c r="C26" s="5" t="inlineStr">
        <is>
          <t>All</t>
        </is>
      </c>
      <c r="D26" s="5" t="inlineStr">
        <is>
          <t>a. Formula consistency</t>
        </is>
      </c>
      <c r="E26" s="5" t="inlineStr">
        <is>
          <t>Logic</t>
        </is>
      </c>
      <c r="F26" s="5" t="inlineStr">
        <is>
          <t>High</t>
        </is>
      </c>
      <c r="G26" s="5" t="inlineStr">
        <is>
          <t>Yes</t>
        </is>
      </c>
      <c r="H26" s="5" t="inlineStr">
        <is>
          <t>Action impacts stack with no double-count guard</t>
        </is>
      </c>
      <c r="I26" s="5" t="inlineStr">
        <is>
          <t>Approving the Finance set adds +1,500, +1,000, +390, +300 and two percentage-point moves to the same EBITDA base of 4,300, and several of them address the same driver.</t>
        </is>
      </c>
      <c r="J26" s="5" t="inlineStr">
        <is>
          <t>A portfolio view that nets overlapping actions and shows a single combined impact.</t>
        </is>
      </c>
      <c r="K26" s="5" t="inlineStr">
        <is>
          <t>Each action is scored in isolation against the baseline.</t>
        </is>
      </c>
      <c r="L26" s="5" t="inlineStr">
        <is>
          <t>Backend / agent logic</t>
        </is>
      </c>
      <c r="M26" s="5" t="inlineStr">
        <is>
          <t>2026-08-04</t>
        </is>
      </c>
      <c r="N26" s="7" t="inlineStr">
        <is>
          <t>Open</t>
        </is>
      </c>
      <c r="O26" s="7" t="n"/>
      <c r="P26" s="7" t="n"/>
      <c r="Q26" s="7" t="n"/>
    </row>
    <row r="27" ht="72" customHeight="1">
      <c r="A27" s="5" t="inlineStr">
        <is>
          <t>QC-023</t>
        </is>
      </c>
      <c r="B27" s="5" t="inlineStr">
        <is>
          <t>2026-07-28</t>
        </is>
      </c>
      <c r="C27" s="5" t="inlineStr">
        <is>
          <t>All</t>
        </is>
      </c>
      <c r="D27" s="5" t="inlineStr">
        <is>
          <t>d. Prompt &amp; response</t>
        </is>
      </c>
      <c r="E27" s="5" t="inlineStr">
        <is>
          <t>Content</t>
        </is>
      </c>
      <c r="F27" s="5" t="inlineStr">
        <is>
          <t>High</t>
        </is>
      </c>
      <c r="G27" s="5" t="inlineStr">
        <is>
          <t>No</t>
        </is>
      </c>
      <c r="H27" s="5" t="inlineStr">
        <is>
          <t>47 alerts telling roughly eight distinct stories</t>
        </is>
      </c>
      <c r="I27" s="5" t="inlineStr">
        <is>
          <t>Finance has 12 alerts, essentially all describing mix, price and cost. Cashflow has 12 restating the Week 5 breach.</t>
        </is>
      </c>
      <c r="J27" s="5" t="inlineStr">
        <is>
          <t>Cluster to one alert per underlying issue with a severity ranking.</t>
        </is>
      </c>
      <c r="K27" s="5" t="inlineStr">
        <is>
          <t>No deduplication in the alert generator.</t>
        </is>
      </c>
      <c r="L27" s="5" t="inlineStr">
        <is>
          <t>Backend / agent logic</t>
        </is>
      </c>
      <c r="M27" s="5" t="inlineStr">
        <is>
          <t>2026-08-04</t>
        </is>
      </c>
      <c r="N27" s="7" t="inlineStr">
        <is>
          <t>Open</t>
        </is>
      </c>
      <c r="O27" s="7" t="n"/>
      <c r="P27" s="7" t="n"/>
      <c r="Q27" s="7" t="n"/>
    </row>
    <row r="28" ht="72" customHeight="1">
      <c r="A28" s="5" t="inlineStr">
        <is>
          <t>QC-024</t>
        </is>
      </c>
      <c r="B28" s="5" t="inlineStr">
        <is>
          <t>2026-07-28</t>
        </is>
      </c>
      <c r="C28" s="5" t="inlineStr">
        <is>
          <t>Leakage</t>
        </is>
      </c>
      <c r="D28" s="5" t="inlineStr">
        <is>
          <t>b. Chart accuracy</t>
        </is>
      </c>
      <c r="E28" s="5" t="inlineStr">
        <is>
          <t>Chart</t>
        </is>
      </c>
      <c r="F28" s="5" t="inlineStr">
        <is>
          <t>High</t>
        </is>
      </c>
      <c r="G28" s="5" t="inlineStr">
        <is>
          <t>Yes</t>
        </is>
      </c>
      <c r="H28" s="5" t="inlineStr">
        <is>
          <t>The Leakage agent opens on an empty chart</t>
        </is>
      </c>
      <c r="I28" s="5" t="inlineStr">
        <is>
          <t>default_view is 'categories', which is the all-zero chart described in the first finding.</t>
        </is>
      </c>
      <c r="J28" s="5" t="inlineStr">
        <is>
          <t>Open on a populated view.</t>
        </is>
      </c>
      <c r="K28" s="5" t="inlineStr">
        <is>
          <t>Same root cause as the zero-amount issue.</t>
        </is>
      </c>
      <c r="L28" s="5" t="inlineStr">
        <is>
          <t>Backend / data</t>
        </is>
      </c>
      <c r="M28" s="5" t="inlineStr">
        <is>
          <t>2026-08-04</t>
        </is>
      </c>
      <c r="N28" s="72" t="inlineStr">
        <is>
          <t>Fixed - awaiting retest</t>
        </is>
      </c>
      <c r="O28" s="7" t="n"/>
      <c r="P28" s="7" t="n"/>
      <c r="Q28" s="7" t="inlineStr">
        <is>
          <t>Fixed 30 Jul 2026 (commit 53daa2c). Same root cause as QC-001; the default view 'categories' now renders four bars on open.</t>
        </is>
      </c>
    </row>
    <row r="29" ht="72" customHeight="1">
      <c r="A29" s="5" t="inlineStr">
        <is>
          <t>QC-025</t>
        </is>
      </c>
      <c r="B29" s="5" t="inlineStr">
        <is>
          <t>2026-07-28</t>
        </is>
      </c>
      <c r="C29" s="5" t="inlineStr">
        <is>
          <t>Treasury</t>
        </is>
      </c>
      <c r="D29" s="5" t="inlineStr">
        <is>
          <t>a. Formula consistency</t>
        </is>
      </c>
      <c r="E29" s="5" t="inlineStr">
        <is>
          <t>Labelling</t>
        </is>
      </c>
      <c r="F29" s="5" t="inlineStr">
        <is>
          <t>High</t>
        </is>
      </c>
      <c r="G29" s="5" t="inlineStr">
        <is>
          <t>No</t>
        </is>
      </c>
      <c r="H29" s="5" t="inlineStr">
        <is>
          <t>FX action states exposure falls to the hedge amount</t>
        </is>
      </c>
      <c r="I29" s="5" t="inlineStr">
        <is>
          <t>Action 'Increase near-term FX protection' shows 'FX exposure: 3.3m -1.3m -&gt; 2.0m'. Hedging the unhedged 1.3M should take unhedged exposure from 1.3M to zero, or coverage from 61% to 100%. As written, 2.0M is the hedge amount, not the residual exposure.</t>
        </is>
      </c>
      <c r="J29" s="5" t="inlineStr">
        <is>
          <t>'Unhedged exposure: USD 1.3m -&gt; USD 0' or 'Coverage: 61% -&gt; 100%'.</t>
        </is>
      </c>
      <c r="K29" s="5" t="inlineStr">
        <is>
          <t>Confuses gross exposure with hedged notional.</t>
        </is>
      </c>
      <c r="L29" s="5" t="inlineStr">
        <is>
          <t>Backend / agent logic</t>
        </is>
      </c>
      <c r="M29" s="5" t="inlineStr">
        <is>
          <t>2026-08-04</t>
        </is>
      </c>
      <c r="N29" s="7" t="inlineStr">
        <is>
          <t>Open</t>
        </is>
      </c>
      <c r="O29" s="7" t="n"/>
      <c r="P29" s="7" t="n"/>
      <c r="Q29" s="7" t="n"/>
    </row>
    <row r="30" ht="72" customHeight="1">
      <c r="A30" s="5" t="inlineStr">
        <is>
          <t>QC-026</t>
        </is>
      </c>
      <c r="B30" s="5" t="inlineStr">
        <is>
          <t>2026-07-28</t>
        </is>
      </c>
      <c r="C30" s="5" t="inlineStr">
        <is>
          <t>Collection</t>
        </is>
      </c>
      <c r="D30" s="5" t="inlineStr">
        <is>
          <t>a. Formula consistency</t>
        </is>
      </c>
      <c r="E30" s="5" t="inlineStr">
        <is>
          <t>Logic</t>
        </is>
      </c>
      <c r="F30" s="5" t="inlineStr">
        <is>
          <t>Medium</t>
        </is>
      </c>
      <c r="G30" s="5" t="inlineStr">
        <is>
          <t>No</t>
        </is>
      </c>
      <c r="H30" s="5" t="inlineStr">
        <is>
          <t>Recovery rate ignores how old the debt is</t>
        </is>
      </c>
      <c r="I30" s="5" t="inlineStr">
        <is>
          <t>Expected recovery is driven only by risk tier: High 40%, Medium 85%, Low 95%. CV Berkah Jaya at 90+ days recovers at 40% while PT Sumber Makmur at 61-90 days recovers at 85%, the same rate as a 31-60 day account.</t>
        </is>
      </c>
      <c r="J30" s="5" t="inlineStr">
        <is>
          <t>Recovery rate should be a function of both tier and ageing bucket.</t>
        </is>
      </c>
      <c r="K30" s="5" t="inlineStr">
        <is>
          <t>Single-factor recovery model.</t>
        </is>
      </c>
      <c r="L30" s="5" t="inlineStr">
        <is>
          <t>Backend / agent logic</t>
        </is>
      </c>
      <c r="M30" s="5" t="inlineStr">
        <is>
          <t>2026-08-11</t>
        </is>
      </c>
      <c r="N30" s="7" t="inlineStr">
        <is>
          <t>Open</t>
        </is>
      </c>
      <c r="O30" s="7" t="n"/>
      <c r="P30" s="7" t="n"/>
      <c r="Q30" s="7" t="n"/>
    </row>
    <row r="31" ht="72" customHeight="1">
      <c r="A31" s="5" t="inlineStr">
        <is>
          <t>QC-027</t>
        </is>
      </c>
      <c r="B31" s="5" t="inlineStr">
        <is>
          <t>2026-07-28</t>
        </is>
      </c>
      <c r="C31" s="5" t="inlineStr">
        <is>
          <t>Finance</t>
        </is>
      </c>
      <c r="D31" s="5" t="inlineStr">
        <is>
          <t>a. Formula consistency</t>
        </is>
      </c>
      <c r="E31" s="5" t="inlineStr">
        <is>
          <t>Formula</t>
        </is>
      </c>
      <c r="F31" s="5" t="inlineStr">
        <is>
          <t>Medium</t>
        </is>
      </c>
      <c r="G31" s="5" t="inlineStr">
        <is>
          <t>No</t>
        </is>
      </c>
      <c r="H31" s="5" t="inlineStr">
        <is>
          <t>One margin percentage rounds down where others round normally</t>
        </is>
      </c>
      <c r="I31" s="5" t="inlineStr">
        <is>
          <t>Precision gross margin displays 36.2%. 4,930 / 13,600 = 36.25%, which should display 36.3%. Industrial 23.81% -&gt; 23.8 and Standard 16.67% -&gt; 16.7 both round correctly.</t>
        </is>
      </c>
      <c r="J31" s="5" t="inlineStr">
        <is>
          <t>Consistent rounding, half up.</t>
        </is>
      </c>
      <c r="K31" s="5" t="inlineStr">
        <is>
          <t>Truncation rather than rounding on this path.</t>
        </is>
      </c>
      <c r="L31" s="5" t="inlineStr">
        <is>
          <t>Frontend</t>
        </is>
      </c>
      <c r="M31" s="5" t="inlineStr">
        <is>
          <t>2026-08-11</t>
        </is>
      </c>
      <c r="N31" s="72" t="inlineStr">
        <is>
          <t>Fixed - awaiting retest</t>
        </is>
      </c>
      <c r="O31" s="7" t="n"/>
      <c r="P31" s="7" t="n"/>
      <c r="Q31" s="7" t="inlineStr">
        <is>
          <t>Fixed 30 Jul 2026 (commit f448e66). Python and IEEE round half to even, so round(36.25, 1) is 36.2. Added _round_half_up and routed _fmt and _pct through it. Product GM% is now 23.8 / 36.3 / 16.7.</t>
        </is>
      </c>
    </row>
    <row r="32" ht="72" customHeight="1">
      <c r="A32" s="5" t="inlineStr">
        <is>
          <t>QC-028</t>
        </is>
      </c>
      <c r="B32" s="5" t="inlineStr">
        <is>
          <t>2026-07-28</t>
        </is>
      </c>
      <c r="C32" s="5" t="inlineStr">
        <is>
          <t>Collection</t>
        </is>
      </c>
      <c r="D32" s="5" t="inlineStr">
        <is>
          <t>b. Chart accuracy</t>
        </is>
      </c>
      <c r="E32" s="5" t="inlineStr">
        <is>
          <t>Chart</t>
        </is>
      </c>
      <c r="F32" s="5" t="inlineStr">
        <is>
          <t>Medium</t>
        </is>
      </c>
      <c r="G32" s="5" t="inlineStr">
        <is>
          <t>No</t>
        </is>
      </c>
      <c r="H32" s="5" t="inlineStr">
        <is>
          <t>DSO gauge shows 120% progress on a metric where lower is better</t>
        </is>
      </c>
      <c r="I32" s="5" t="inlineStr">
        <is>
          <t>DSO KPI has progress 1.2 (57 / 47).</t>
        </is>
      </c>
      <c r="J32" s="5" t="inlineStr">
        <is>
          <t>Invert the gauge, or show days over target rather than a progress percentage.</t>
        </is>
      </c>
      <c r="K32" s="5" t="inlineStr">
        <is>
          <t>Generic progress calculation applied to an inverse metric.</t>
        </is>
      </c>
      <c r="L32" s="5" t="inlineStr">
        <is>
          <t>Frontend</t>
        </is>
      </c>
      <c r="M32" s="5" t="inlineStr">
        <is>
          <t>2026-08-11</t>
        </is>
      </c>
      <c r="N32" s="72" t="inlineStr">
        <is>
          <t>Fixed - awaiting retest</t>
        </is>
      </c>
      <c r="O32" s="7" t="n"/>
      <c r="P32" s="7" t="n"/>
      <c r="Q32" s="7" t="inlineStr">
        <is>
          <t>Fixed 30 Jul 2026 (commit f448e66). Added a lower_is_better flag so enrichment inverts the ratio. DSO progress is now 0.8246 (47/57) instead of the clamped 1.2.</t>
        </is>
      </c>
    </row>
    <row r="33" ht="72" customHeight="1">
      <c r="A33" s="5" t="inlineStr">
        <is>
          <t>QC-029</t>
        </is>
      </c>
      <c r="B33" s="5" t="inlineStr">
        <is>
          <t>2026-07-28</t>
        </is>
      </c>
      <c r="C33" s="5" t="inlineStr">
        <is>
          <t>Treasury</t>
        </is>
      </c>
      <c r="D33" s="5" t="inlineStr">
        <is>
          <t>d. Prompt &amp; response</t>
        </is>
      </c>
      <c r="E33" s="5" t="inlineStr">
        <is>
          <t>Formatting</t>
        </is>
      </c>
      <c r="F33" s="5" t="inlineStr">
        <is>
          <t>Medium</t>
        </is>
      </c>
      <c r="G33" s="5" t="inlineStr">
        <is>
          <t>No</t>
        </is>
      </c>
      <c r="H33" s="5" t="inlineStr">
        <is>
          <t>Inconsistent number formats in one KPI row</t>
        </is>
      </c>
      <c r="I33" s="5" t="inlineStr">
        <is>
          <t>'Net USD exposure 3.3 M USD' sits next to 'Recommended hedge 2,000,000 USD'. The Week 5 shortfall appears as 1,002, 1,002.5 and 1,003 in different places.</t>
        </is>
      </c>
      <c r="J33" s="5" t="inlineStr">
        <is>
          <t>One format per unit across the app.</t>
        </is>
      </c>
      <c r="K33" s="5" t="inlineStr">
        <is>
          <t>No shared formatting helper.</t>
        </is>
      </c>
      <c r="L33" s="5" t="inlineStr">
        <is>
          <t>Frontend</t>
        </is>
      </c>
      <c r="M33" s="5" t="inlineStr">
        <is>
          <t>2026-08-11</t>
        </is>
      </c>
      <c r="N33" s="72" t="inlineStr">
        <is>
          <t>Fixed - awaiting retest</t>
        </is>
      </c>
      <c r="O33" s="7" t="n"/>
      <c r="P33" s="7" t="n"/>
      <c r="Q33" s="7" t="inlineStr">
        <is>
          <t>Fixed 30 Jul 2026 (commit f448e66). One USD scale across the KPI row: 3.3 M USD beside 2.0 M USD, instead of 3.3 M USD beside 2,000,000 USD which hid that 2.0 is less than 3.3.</t>
        </is>
      </c>
    </row>
    <row r="34" ht="72" customHeight="1">
      <c r="A34" s="5" t="inlineStr">
        <is>
          <t>QC-030</t>
        </is>
      </c>
      <c r="B34" s="5" t="inlineStr">
        <is>
          <t>2026-07-28</t>
        </is>
      </c>
      <c r="C34" s="5" t="inlineStr">
        <is>
          <t>Collection</t>
        </is>
      </c>
      <c r="D34" s="5" t="inlineStr">
        <is>
          <t>a. Formula consistency</t>
        </is>
      </c>
      <c r="E34" s="5" t="inlineStr">
        <is>
          <t>Labelling</t>
        </is>
      </c>
      <c r="F34" s="5" t="inlineStr">
        <is>
          <t>Medium</t>
        </is>
      </c>
      <c r="G34" s="5" t="inlineStr">
        <is>
          <t>No</t>
        </is>
      </c>
      <c r="H34" s="5" t="inlineStr">
        <is>
          <t>Action labels a two-customer balance as total overdue AR</t>
        </is>
      </c>
      <c r="I34" s="5" t="inlineStr">
        <is>
          <t>Action 'Tighten exposure controls' shows 'Overdue AR: 16500 -3000 -&gt; 13500'. Total overdue AR is 37,935. 16,500 is the top two customers.</t>
        </is>
      </c>
      <c r="J34" s="5" t="inlineStr">
        <is>
          <t>'Top-2 overdue: 16,500 -&gt; 13,500'.</t>
        </is>
      </c>
      <c r="K34" s="5" t="inlineStr">
        <is>
          <t>Reused metric name.</t>
        </is>
      </c>
      <c r="L34" s="5" t="inlineStr">
        <is>
          <t>Backend / agent logic</t>
        </is>
      </c>
      <c r="M34" s="5" t="inlineStr">
        <is>
          <t>2026-08-11</t>
        </is>
      </c>
      <c r="N34" s="7" t="inlineStr">
        <is>
          <t>Open</t>
        </is>
      </c>
      <c r="O34" s="7" t="n"/>
      <c r="P34" s="7" t="n"/>
      <c r="Q34" s="7" t="n"/>
    </row>
    <row r="35" ht="72" customHeight="1">
      <c r="A35" s="5" t="inlineStr">
        <is>
          <t>QC-031</t>
        </is>
      </c>
      <c r="B35" s="5" t="inlineStr">
        <is>
          <t>2026-07-28</t>
        </is>
      </c>
      <c r="C35" s="5" t="inlineStr">
        <is>
          <t>Leakage</t>
        </is>
      </c>
      <c r="D35" s="5" t="inlineStr">
        <is>
          <t>a. Formula consistency</t>
        </is>
      </c>
      <c r="E35" s="5" t="inlineStr">
        <is>
          <t>Labelling</t>
        </is>
      </c>
      <c r="F35" s="5" t="inlineStr">
        <is>
          <t>Medium</t>
        </is>
      </c>
      <c r="G35" s="5" t="inlineStr">
        <is>
          <t>No</t>
        </is>
      </c>
      <c r="H35" s="5" t="inlineStr">
        <is>
          <t>Action uses the annualised figure while the dashboard shows the cycle figure</t>
        </is>
      </c>
      <c r="I35" s="5" t="inlineStr">
        <is>
          <t>Action 'Tighten early-payment discount capture' shows 'Discount leakage: 2470 -50% -&gt; 1235'. The dashboard 'Lost' amount is 95 mn. The alert clarifies 95 mn per cycle annualises to 2,470 mn.</t>
        </is>
      </c>
      <c r="J35" s="5" t="inlineStr">
        <is>
          <t>State the basis on the card: 'Discount leakage (annualised)'.</t>
        </is>
      </c>
      <c r="K35" s="5" t="inlineStr">
        <is>
          <t>No period label on impact strings.</t>
        </is>
      </c>
      <c r="L35" s="5" t="inlineStr">
        <is>
          <t>Backend / agent logic</t>
        </is>
      </c>
      <c r="M35" s="5" t="inlineStr">
        <is>
          <t>2026-08-11</t>
        </is>
      </c>
      <c r="N35" s="7" t="inlineStr">
        <is>
          <t>Open</t>
        </is>
      </c>
      <c r="O35" s="7" t="n"/>
      <c r="P35" s="7" t="n"/>
      <c r="Q35" s="7" t="n"/>
    </row>
    <row r="36" ht="72" customHeight="1">
      <c r="A36" s="5" t="inlineStr">
        <is>
          <t>QC-032</t>
        </is>
      </c>
      <c r="B36" s="5" t="inlineStr">
        <is>
          <t>2026-07-28</t>
        </is>
      </c>
      <c r="C36" s="5" t="inlineStr">
        <is>
          <t>Leakage</t>
        </is>
      </c>
      <c r="D36" s="5" t="inlineStr">
        <is>
          <t>a. Formula consistency</t>
        </is>
      </c>
      <c r="E36" s="5" t="inlineStr">
        <is>
          <t>Labelling</t>
        </is>
      </c>
      <c r="F36" s="5" t="inlineStr">
        <is>
          <t>Medium</t>
        </is>
      </c>
      <c r="G36" s="5" t="inlineStr">
        <is>
          <t>No</t>
        </is>
      </c>
      <c r="H36" s="5" t="inlineStr">
        <is>
          <t>The same 900 mn appears under three different names</t>
        </is>
      </c>
      <c r="I36" s="5" t="inlineStr">
        <is>
          <t>Alerts call it 'IDR 900mn excess vs PO/GRN'. The simulator baseline splits it as overbill_amount 400 and other_blocked 500. An action calls it 'overbilling risk: 900mn'.</t>
        </is>
      </c>
      <c r="J36" s="5" t="inlineStr">
        <is>
          <t>One name, with the split shown as a breakdown underneath.</t>
        </is>
      </c>
      <c r="K36" s="5" t="inlineStr">
        <is>
          <t>Field naming drift.</t>
        </is>
      </c>
      <c r="L36" s="5" t="inlineStr">
        <is>
          <t>Backend / agent logic</t>
        </is>
      </c>
      <c r="M36" s="5" t="inlineStr">
        <is>
          <t>2026-08-11</t>
        </is>
      </c>
      <c r="N36" s="7" t="inlineStr">
        <is>
          <t>Open</t>
        </is>
      </c>
      <c r="O36" s="7" t="n"/>
      <c r="P36" s="7" t="n"/>
      <c r="Q36" s="7" t="n"/>
    </row>
    <row r="37" ht="72" customHeight="1">
      <c r="A37" s="5" t="inlineStr">
        <is>
          <t>QC-033</t>
        </is>
      </c>
      <c r="B37" s="5" t="inlineStr">
        <is>
          <t>2026-07-28</t>
        </is>
      </c>
      <c r="C37" s="5" t="inlineStr">
        <is>
          <t>Collection</t>
        </is>
      </c>
      <c r="D37" s="5" t="inlineStr">
        <is>
          <t>b. Chart accuracy</t>
        </is>
      </c>
      <c r="E37" s="5" t="inlineStr">
        <is>
          <t>Chart</t>
        </is>
      </c>
      <c r="F37" s="5" t="inlineStr">
        <is>
          <t>Medium</t>
        </is>
      </c>
      <c r="G37" s="5" t="inlineStr">
        <is>
          <t>No</t>
        </is>
      </c>
      <c r="H37" s="5" t="inlineStr">
        <is>
          <t>Two charts on the same screen order the same pair in opposite directions</t>
        </is>
      </c>
      <c r="I37" s="5" t="inlineStr">
        <is>
          <t>Main 'prize' chart plots Now then Target. The side chart 'DSO vs target' plots Target then Now.</t>
        </is>
      </c>
      <c r="J37" s="5" t="inlineStr">
        <is>
          <t>One order.</t>
        </is>
      </c>
      <c r="K37" s="5" t="inlineStr">
        <is>
          <t>Independently authored chart configs.</t>
        </is>
      </c>
      <c r="L37" s="5" t="inlineStr">
        <is>
          <t>Frontend</t>
        </is>
      </c>
      <c r="M37" s="5" t="inlineStr">
        <is>
          <t>2026-08-11</t>
        </is>
      </c>
      <c r="N37" s="72" t="inlineStr">
        <is>
          <t>Fixed - awaiting retest</t>
        </is>
      </c>
      <c r="O37" s="7" t="n"/>
      <c r="P37" s="7" t="n"/>
      <c r="Q37" s="7" t="inlineStr">
        <is>
          <t>Fixed 30 Jul 2026 (commit f448e66). Both charts now order [Now, Target]. Aligning them turned the pair into exact duplicates, so side:bottom was changed to Overdue vs expected recovery.</t>
        </is>
      </c>
    </row>
    <row r="38" ht="72" customHeight="1">
      <c r="A38" s="5" t="inlineStr">
        <is>
          <t>QC-034</t>
        </is>
      </c>
      <c r="B38" s="5" t="inlineStr">
        <is>
          <t>2026-07-28</t>
        </is>
      </c>
      <c r="C38" s="5" t="inlineStr">
        <is>
          <t>Treasury</t>
        </is>
      </c>
      <c r="D38" s="5" t="inlineStr">
        <is>
          <t>b. Chart accuracy</t>
        </is>
      </c>
      <c r="E38" s="5" t="inlineStr">
        <is>
          <t>Chart</t>
        </is>
      </c>
      <c r="F38" s="5" t="inlineStr">
        <is>
          <t>Medium</t>
        </is>
      </c>
      <c r="G38" s="5" t="inlineStr">
        <is>
          <t>No</t>
        </is>
      </c>
      <c r="H38" s="5" t="inlineStr">
        <is>
          <t>A zero bar next to a value bar reads as a rendering failure</t>
        </is>
      </c>
      <c r="I38" s="5" t="inlineStr">
        <is>
          <t>The 'FX impact if we do nothing' chart plots Base = 0 against Adverse = 1,777.05.</t>
        </is>
      </c>
      <c r="J38" s="5" t="inlineStr">
        <is>
          <t>Show a single value with a reference line, or label the zero bar explicitly.</t>
        </is>
      </c>
      <c r="K38" s="5" t="inlineStr">
        <is>
          <t>Chart type choice.</t>
        </is>
      </c>
      <c r="L38" s="5" t="inlineStr">
        <is>
          <t>Frontend</t>
        </is>
      </c>
      <c r="M38" s="5" t="inlineStr">
        <is>
          <t>2026-08-11</t>
        </is>
      </c>
      <c r="N38" s="72" t="inlineStr">
        <is>
          <t>Fixed - awaiting retest</t>
        </is>
      </c>
      <c r="O38" s="7" t="n"/>
      <c r="P38" s="7" t="n"/>
      <c r="Q38" s="7" t="inlineStr">
        <is>
          <t>Fixed 30 Jul 2026 (commit f448e66). The zero 'Base' bar is gone. The chart now compares Do nothing 1,777.05 against Hedge 2.0M 700.05 - both non-zero, and the first equals the FX loss card.</t>
        </is>
      </c>
    </row>
    <row r="39" ht="72" customHeight="1">
      <c r="A39" s="5" t="inlineStr">
        <is>
          <t>QC-035</t>
        </is>
      </c>
      <c r="B39" s="5" t="inlineStr">
        <is>
          <t>2026-07-28</t>
        </is>
      </c>
      <c r="C39" s="5" t="inlineStr">
        <is>
          <t>All</t>
        </is>
      </c>
      <c r="D39" s="5" t="inlineStr">
        <is>
          <t>b. Chart accuracy</t>
        </is>
      </c>
      <c r="E39" s="5" t="inlineStr">
        <is>
          <t>Chart</t>
        </is>
      </c>
      <c r="F39" s="5" t="inlineStr">
        <is>
          <t>Medium</t>
        </is>
      </c>
      <c r="G39" s="5" t="inlineStr">
        <is>
          <t>Yes</t>
        </is>
      </c>
      <c r="H39" s="5" t="inlineStr">
        <is>
          <t>No chart states its period</t>
        </is>
      </c>
      <c r="I39" s="5" t="inlineStr">
        <is>
          <t>None of the four dashboards labels whether a figure is monthly, year to date or full year.</t>
        </is>
      </c>
      <c r="J39" s="5" t="inlineStr">
        <is>
          <t>Every chart title carries the period, for example 'Oct 2025 to Sep 2026'.</t>
        </is>
      </c>
      <c r="K39" s="5" t="inlineStr">
        <is>
          <t>Period is not part of the payload.</t>
        </is>
      </c>
      <c r="L39" s="5" t="inlineStr">
        <is>
          <t>Frontend + backend</t>
        </is>
      </c>
      <c r="M39" s="5" t="inlineStr">
        <is>
          <t>2026-08-11</t>
        </is>
      </c>
      <c r="N39" s="7" t="inlineStr">
        <is>
          <t>Open</t>
        </is>
      </c>
      <c r="O39" s="7" t="n"/>
      <c r="P39" s="7" t="n"/>
      <c r="Q39" s="7" t="n"/>
    </row>
    <row r="40" ht="72" customHeight="1">
      <c r="A40" s="5" t="inlineStr">
        <is>
          <t>QC-036</t>
        </is>
      </c>
      <c r="B40" s="5" t="inlineStr">
        <is>
          <t>2026-07-28</t>
        </is>
      </c>
      <c r="C40" s="5" t="inlineStr">
        <is>
          <t>Finance</t>
        </is>
      </c>
      <c r="D40" s="5" t="inlineStr">
        <is>
          <t>b. Chart accuracy</t>
        </is>
      </c>
      <c r="E40" s="5" t="inlineStr">
        <is>
          <t>Chart</t>
        </is>
      </c>
      <c r="F40" s="5" t="inlineStr">
        <is>
          <t>Medium</t>
        </is>
      </c>
      <c r="G40" s="5" t="inlineStr">
        <is>
          <t>No</t>
        </is>
      </c>
      <c r="H40" s="5" t="inlineStr">
        <is>
          <t>The side chart duplicates the main chart exactly</t>
        </is>
      </c>
      <c r="I40" s="5" t="inlineStr">
        <is>
          <t>side.top 'Margin by product' has identical data to the 'product' view.</t>
        </is>
      </c>
      <c r="J40" s="5" t="inlineStr">
        <is>
          <t>Use the side slot for something the main view does not show.</t>
        </is>
      </c>
      <c r="K40" s="5" t="inlineStr">
        <is>
          <t>Layout placeholder never replaced.</t>
        </is>
      </c>
      <c r="L40" s="5" t="inlineStr">
        <is>
          <t>Frontend</t>
        </is>
      </c>
      <c r="M40" s="5" t="inlineStr">
        <is>
          <t>2026-08-11</t>
        </is>
      </c>
      <c r="N40" s="72" t="inlineStr">
        <is>
          <t>Fixed - awaiting retest</t>
        </is>
      </c>
      <c r="O40" s="7" t="n"/>
      <c r="P40" s="7" t="n"/>
      <c r="Q40" s="7" t="inlineStr">
        <is>
          <t>Fixed 30 Jul 2026 (commit f448e66). Finance side:top was byte-identical to view:product. It now shows the gross margin pool in IDR (4,550 / 4,930 / 2,300 = 11,780) rather than repeating the rate.</t>
        </is>
      </c>
    </row>
    <row r="41" ht="72" customHeight="1">
      <c r="A41" s="5" t="inlineStr">
        <is>
          <t>QC-037</t>
        </is>
      </c>
      <c r="B41" s="5" t="inlineStr">
        <is>
          <t>2026-07-28</t>
        </is>
      </c>
      <c r="C41" s="5" t="inlineStr">
        <is>
          <t>Treasury</t>
        </is>
      </c>
      <c r="D41" s="5" t="inlineStr">
        <is>
          <t>b. Chart accuracy</t>
        </is>
      </c>
      <c r="E41" s="5" t="inlineStr">
        <is>
          <t>Chart</t>
        </is>
      </c>
      <c r="F41" s="5" t="inlineStr">
        <is>
          <t>Medium</t>
        </is>
      </c>
      <c r="G41" s="5" t="inlineStr">
        <is>
          <t>Yes</t>
        </is>
      </c>
      <c r="H41" s="5" t="inlineStr">
        <is>
          <t>The cash chart cannot answer why Week 5 is low</t>
        </is>
      </c>
      <c r="I41" s="5" t="inlineStr">
        <is>
          <t>The forecast view carries closing balance only, with no inflow or outflow detail.</t>
        </is>
      </c>
      <c r="J41" s="5" t="inlineStr">
        <is>
          <t>Weekly inflows, outflows and the largest lines behind them, so the obvious follow-up question is answerable on screen.</t>
        </is>
      </c>
      <c r="K41" s="5" t="inlineStr">
        <is>
          <t>Only the balance series is stored.</t>
        </is>
      </c>
      <c r="L41" s="5" t="inlineStr">
        <is>
          <t>Backend + frontend</t>
        </is>
      </c>
      <c r="M41" s="5" t="inlineStr">
        <is>
          <t>2026-08-11</t>
        </is>
      </c>
      <c r="N41" s="7" t="inlineStr">
        <is>
          <t>Open</t>
        </is>
      </c>
      <c r="O41" s="7" t="n"/>
      <c r="P41" s="7" t="n"/>
      <c r="Q41" s="7" t="n"/>
    </row>
    <row r="42" ht="72" customHeight="1">
      <c r="A42" s="5" t="inlineStr">
        <is>
          <t>QC-038</t>
        </is>
      </c>
      <c r="B42" s="5" t="inlineStr">
        <is>
          <t>2026-07-28</t>
        </is>
      </c>
      <c r="C42" s="5" t="inlineStr">
        <is>
          <t>Collection</t>
        </is>
      </c>
      <c r="D42" s="5" t="inlineStr">
        <is>
          <t>b. Chart accuracy</t>
        </is>
      </c>
      <c r="E42" s="5" t="inlineStr">
        <is>
          <t>Chart</t>
        </is>
      </c>
      <c r="F42" s="5" t="inlineStr">
        <is>
          <t>Low</t>
        </is>
      </c>
      <c r="G42" s="5" t="inlineStr">
        <is>
          <t>No</t>
        </is>
      </c>
      <c r="H42" s="5" t="inlineStr">
        <is>
          <t>Worklist bucket column attributes a whole balance to the oldest bucket</t>
        </is>
      </c>
      <c r="I42" s="5" t="inlineStr">
        <is>
          <t>PT Anugerah Prima shows 10,000 in the '31-60 days' bucket while the ageing chart splits amounts across all five buckets.</t>
        </is>
      </c>
      <c r="J42" s="5" t="inlineStr">
        <is>
          <t>Label it 'Oldest bucket', or split the customer balance by bucket.</t>
        </is>
      </c>
      <c r="K42" s="5" t="inlineStr">
        <is>
          <t>Column shows max ageing, header does not say so.</t>
        </is>
      </c>
      <c r="L42" s="5" t="inlineStr">
        <is>
          <t>Frontend</t>
        </is>
      </c>
      <c r="M42" s="5" t="inlineStr">
        <is>
          <t>2026-08-18</t>
        </is>
      </c>
      <c r="N42" s="7" t="inlineStr">
        <is>
          <t>Open</t>
        </is>
      </c>
      <c r="O42" s="7" t="n"/>
      <c r="P42" s="7" t="n"/>
      <c r="Q42" s="7" t="n"/>
    </row>
    <row r="43" ht="72" customHeight="1">
      <c r="A43" s="5" t="inlineStr">
        <is>
          <t>QC-039</t>
        </is>
      </c>
      <c r="B43" s="5" t="inlineStr">
        <is>
          <t>2026-07-28</t>
        </is>
      </c>
      <c r="C43" s="5" t="inlineStr">
        <is>
          <t>All</t>
        </is>
      </c>
      <c r="D43" s="5" t="inlineStr">
        <is>
          <t>d. Prompt &amp; response</t>
        </is>
      </c>
      <c r="E43" s="5" t="inlineStr">
        <is>
          <t>Content</t>
        </is>
      </c>
      <c r="F43" s="5" t="inlineStr">
        <is>
          <t>Medium</t>
        </is>
      </c>
      <c r="G43" s="5" t="inlineStr">
        <is>
          <t>Yes</t>
        </is>
      </c>
      <c r="H43" s="5" t="inlineStr">
        <is>
          <t>The word 'illustrative' is exposed in the payload</t>
        </is>
      </c>
      <c r="I43" s="5" t="inlineStr">
        <is>
          <t>The Finance simulator sets illustrative: true, a note reads 'Illustrative breakdown; profit_summary has no opex line columns in this batch', the FX chart is titled 'FX sensitivity (illustrative)', the vendor score note says 'Score is illustrative (0-100)' and the hedge table note mentions 'an illustrative 170 IDR/USD forward spread'.</t>
        </is>
      </c>
      <c r="J43" s="5" t="inlineStr">
        <is>
          <t>Remove developer notes from anything a CFO can see. Keep a single tasteful 'demo data' badge if disclosure is needed.</t>
        </is>
      </c>
      <c r="K43" s="5" t="inlineStr">
        <is>
          <t>Debug notes left in the response model.</t>
        </is>
      </c>
      <c r="L43" s="5" t="inlineStr">
        <is>
          <t>Backend</t>
        </is>
      </c>
      <c r="M43" s="5" t="inlineStr">
        <is>
          <t>2026-08-11</t>
        </is>
      </c>
      <c r="N43" s="72" t="inlineStr">
        <is>
          <t>Fixed - awaiting retest</t>
        </is>
      </c>
      <c r="O43" s="7" t="n"/>
      <c r="P43" s="7" t="n"/>
      <c r="Q43" s="7" t="inlineStr">
        <is>
          <t>Fixed 30 Jul 2026 (commit f448e66). Removed the 'illustrative' flags, the db_kpis_count / db_profit_count / db_variance_count debug counters, and reworded the debug-flavoured notes. A test now fails if any of them come back.</t>
        </is>
      </c>
    </row>
    <row r="44" ht="72" customHeight="1">
      <c r="A44" s="5" t="inlineStr">
        <is>
          <t>QC-040</t>
        </is>
      </c>
      <c r="B44" s="5" t="inlineStr">
        <is>
          <t>2026-07-28</t>
        </is>
      </c>
      <c r="C44" s="5" t="inlineStr">
        <is>
          <t>Treasury</t>
        </is>
      </c>
      <c r="D44" s="5" t="inlineStr">
        <is>
          <t>d. Prompt &amp; response</t>
        </is>
      </c>
      <c r="E44" s="5" t="inlineStr">
        <is>
          <t>Content</t>
        </is>
      </c>
      <c r="F44" s="5" t="inlineStr">
        <is>
          <t>Medium</t>
        </is>
      </c>
      <c r="G44" s="5" t="inlineStr">
        <is>
          <t>Yes</t>
        </is>
      </c>
      <c r="H44" s="5" t="inlineStr">
        <is>
          <t>It is unclear whether the customer delay is already in the forecast</t>
        </is>
      </c>
      <c r="I44" s="5" t="inlineStr">
        <is>
          <t>An alert says a customer delayed IDR 8,000 mn from Week 5 to Week 7. If that delay is already inside the baseline, Week 5 would otherwise be 14,997.5 and there would be no breach at all.</t>
        </is>
      </c>
      <c r="J44" s="5" t="inlineStr">
        <is>
          <t>State plainly whether the forecast is before or after the delay.</t>
        </is>
      </c>
      <c r="K44" s="5" t="inlineStr">
        <is>
          <t>Baseline definition not documented.</t>
        </is>
      </c>
      <c r="L44" s="5" t="inlineStr">
        <is>
          <t>Backend / agent logic</t>
        </is>
      </c>
      <c r="M44" s="5" t="inlineStr">
        <is>
          <t>2026-08-11</t>
        </is>
      </c>
      <c r="N44" s="7" t="inlineStr">
        <is>
          <t>Open</t>
        </is>
      </c>
      <c r="O44" s="7" t="n"/>
      <c r="P44" s="7" t="n"/>
      <c r="Q44" s="7" t="n"/>
    </row>
    <row r="45" ht="72" customHeight="1">
      <c r="A45" s="5" t="inlineStr">
        <is>
          <t>QC-041</t>
        </is>
      </c>
      <c r="B45" s="5" t="inlineStr">
        <is>
          <t>2026-07-28</t>
        </is>
      </c>
      <c r="C45" s="5" t="inlineStr">
        <is>
          <t>Treasury</t>
        </is>
      </c>
      <c r="D45" s="5" t="inlineStr">
        <is>
          <t>d. Prompt &amp; response</t>
        </is>
      </c>
      <c r="E45" s="5" t="inlineStr">
        <is>
          <t>Content</t>
        </is>
      </c>
      <c r="F45" s="5" t="inlineStr">
        <is>
          <t>Medium</t>
        </is>
      </c>
      <c r="G45" s="5" t="inlineStr">
        <is>
          <t>No</t>
        </is>
      </c>
      <c r="H45" s="5" t="inlineStr">
        <is>
          <t>Alert title names Week 5 but carries Week 6 data</t>
        </is>
      </c>
      <c r="I45" s="5" t="inlineStr">
        <is>
          <t>Alert 'Week 5 cash headroom critically thin' cites 9,012.5 closing and 1,012.5 headroom, which are Week 6 values.</t>
        </is>
      </c>
      <c r="J45" s="5" t="inlineStr">
        <is>
          <t>Title matches the week in the evidence.</t>
        </is>
      </c>
      <c r="K45" s="5" t="inlineStr">
        <is>
          <t>Template variable mismatch.</t>
        </is>
      </c>
      <c r="L45" s="5" t="inlineStr">
        <is>
          <t>Backend / agent logic</t>
        </is>
      </c>
      <c r="M45" s="5" t="inlineStr">
        <is>
          <t>2026-08-11</t>
        </is>
      </c>
      <c r="N45" s="7" t="inlineStr">
        <is>
          <t>Open</t>
        </is>
      </c>
      <c r="O45" s="7" t="n"/>
      <c r="P45" s="7" t="n"/>
      <c r="Q45" s="7" t="n"/>
    </row>
    <row r="46" ht="72" customHeight="1">
      <c r="A46" s="5" t="inlineStr">
        <is>
          <t>QC-042</t>
        </is>
      </c>
      <c r="B46" s="5" t="inlineStr">
        <is>
          <t>2026-07-28</t>
        </is>
      </c>
      <c r="C46" s="5" t="inlineStr">
        <is>
          <t>All</t>
        </is>
      </c>
      <c r="D46" s="5" t="inlineStr">
        <is>
          <t>d. Prompt &amp; response</t>
        </is>
      </c>
      <c r="E46" s="5" t="inlineStr">
        <is>
          <t>Content</t>
        </is>
      </c>
      <c r="F46" s="5" t="inlineStr">
        <is>
          <t>Medium</t>
        </is>
      </c>
      <c r="G46" s="5" t="inlineStr">
        <is>
          <t>Yes</t>
        </is>
      </c>
      <c r="H46" s="5" t="inlineStr">
        <is>
          <t>Starter prompts do not show the strongest part of the story</t>
        </is>
      </c>
      <c r="I46" s="5" t="inlineStr">
        <is>
          <t>The eight starter prompts are all single-agent. None triggers routing from one agent to another, which is the differentiator.</t>
        </is>
      </c>
      <c r="J46" s="5" t="inlineStr">
        <is>
          <t>Add prompts such as 'Which agent should fix the margin problem?' and 'If Collection pulls cash forward, what happens to Week 5?'</t>
        </is>
      </c>
      <c r="K46" s="5" t="inlineStr">
        <is>
          <t>Prompt library written per agent in isolation.</t>
        </is>
      </c>
      <c r="L46" s="5" t="inlineStr">
        <is>
          <t>Demo owner</t>
        </is>
      </c>
      <c r="M46" s="5" t="inlineStr">
        <is>
          <t>2026-08-11</t>
        </is>
      </c>
      <c r="N46" s="7" t="inlineStr">
        <is>
          <t>Open</t>
        </is>
      </c>
      <c r="O46" s="7" t="n"/>
      <c r="P46" s="7" t="n"/>
      <c r="Q46" s="7" t="n"/>
    </row>
    <row r="47" ht="72" customHeight="1">
      <c r="A47" s="5" t="inlineStr">
        <is>
          <t>QC-043</t>
        </is>
      </c>
      <c r="B47" s="5" t="inlineStr">
        <is>
          <t>2026-07-28</t>
        </is>
      </c>
      <c r="C47" s="5" t="inlineStr">
        <is>
          <t>All</t>
        </is>
      </c>
      <c r="D47" s="5" t="inlineStr">
        <is>
          <t>g. Filters</t>
        </is>
      </c>
      <c r="E47" s="5" t="inlineStr">
        <is>
          <t>Feature</t>
        </is>
      </c>
      <c r="F47" s="5" t="inlineStr">
        <is>
          <t>High</t>
        </is>
      </c>
      <c r="G47" s="5" t="inlineStr">
        <is>
          <t>Yes</t>
        </is>
      </c>
      <c r="H47" s="5" t="inlineStr">
        <is>
          <t>The app has no filters at all</t>
        </is>
      </c>
      <c r="I47" s="5" t="inlineStr">
        <is>
          <t>No endpoint accepts a filter parameter. There is no legal entity, period, store, category, customer, vendor, currency or scenario filter anywhere.</t>
        </is>
      </c>
      <c r="J47" s="5" t="inlineStr">
        <is>
          <t>At minimum: legal entity, period, comparison basis, store, category, customer, risk tier, ageing bucket, vendor, leakage type, week and commitment type.</t>
        </is>
      </c>
      <c r="K47" s="5" t="inlineStr">
        <is>
          <t>Filtering was never in scope for the mockup.</t>
        </is>
      </c>
      <c r="L47" s="5" t="inlineStr">
        <is>
          <t>Backend + frontend</t>
        </is>
      </c>
      <c r="M47" s="5" t="inlineStr">
        <is>
          <t>2026-08-04</t>
        </is>
      </c>
      <c r="N47" s="7" t="inlineStr">
        <is>
          <t>Open</t>
        </is>
      </c>
      <c r="O47" s="7" t="n"/>
      <c r="P47" s="7" t="n"/>
      <c r="Q47" s="7" t="n"/>
    </row>
    <row r="48" ht="72" customHeight="1">
      <c r="A48" s="5" t="inlineStr">
        <is>
          <t>QC-044</t>
        </is>
      </c>
      <c r="B48" s="5" t="inlineStr">
        <is>
          <t>2026-07-28</t>
        </is>
      </c>
      <c r="C48" s="5" t="inlineStr">
        <is>
          <t>All</t>
        </is>
      </c>
      <c r="D48" s="5" t="inlineStr">
        <is>
          <t>f. Dataset</t>
        </is>
      </c>
      <c r="E48" s="5" t="inlineStr">
        <is>
          <t>Data</t>
        </is>
      </c>
      <c r="F48" s="5" t="inlineStr">
        <is>
          <t>High</t>
        </is>
      </c>
      <c r="G48" s="5" t="inlineStr">
        <is>
          <t>Yes</t>
        </is>
      </c>
      <c r="H48" s="5" t="inlineStr">
        <is>
          <t>Dataset is far below the volume the client asked for</t>
        </is>
      </c>
      <c r="I48" s="5" t="inlineStr">
        <is>
          <t>Collection shows 8 customers, Leakage shows 8 vendors and 10 transactions, Finance shows 3 product lines. There is no store, item, category or legal entity dimension anywhere in the payload.</t>
        </is>
      </c>
      <c r="J48" s="5" t="inlineStr">
        <is>
          <t>Minimum 3 legal entities, 20 stores, 100 items, a full category range and monthly data through Sep 2026.</t>
        </is>
      </c>
      <c r="K48" s="5" t="inlineStr">
        <is>
          <t>Mockup was seeded with hand-written illustrative rows.</t>
        </is>
      </c>
      <c r="L48" s="5" t="inlineStr">
        <is>
          <t>Backend / data</t>
        </is>
      </c>
      <c r="M48" s="5" t="inlineStr">
        <is>
          <t>2026-08-04</t>
        </is>
      </c>
      <c r="N48" s="7" t="inlineStr">
        <is>
          <t>Open</t>
        </is>
      </c>
      <c r="O48" s="7" t="n"/>
      <c r="P48" s="7" t="n"/>
      <c r="Q48" s="7" t="n"/>
    </row>
    <row r="49" ht="72" customHeight="1">
      <c r="A49" s="5" t="inlineStr">
        <is>
          <t>QC-045</t>
        </is>
      </c>
      <c r="B49" s="5" t="inlineStr">
        <is>
          <t>2026-07-28</t>
        </is>
      </c>
      <c r="C49" s="5" t="inlineStr">
        <is>
          <t>All</t>
        </is>
      </c>
      <c r="D49" s="5" t="inlineStr">
        <is>
          <t>c. Button / menu / function</t>
        </is>
      </c>
      <c r="E49" s="5" t="inlineStr">
        <is>
          <t>Untested</t>
        </is>
      </c>
      <c r="F49" s="5" t="inlineStr">
        <is>
          <t>High</t>
        </is>
      </c>
      <c r="G49" s="5" t="inlineStr">
        <is>
          <t>Yes</t>
        </is>
      </c>
      <c r="H49" s="5" t="inlineStr">
        <is>
          <t>Interactive behaviour could not be verified remotely</t>
        </is>
      </c>
      <c r="I49" s="5" t="inlineStr">
        <is>
          <t>Buttons, menus, tab switching, simulator sliders, action approve and simulate, chat send and export are all POST or client-side. They cannot be exercised through the read-only API surface available from outside.</t>
        </is>
      </c>
      <c r="J49" s="5" t="inlineStr">
        <is>
          <t>Run sheet 02 manually against the live app and record the result.</t>
        </is>
      </c>
      <c r="K49" s="5" t="inlineStr">
        <is>
          <t>Not a defect. A scope limit of this review.</t>
        </is>
      </c>
      <c r="L49" s="5" t="inlineStr">
        <is>
          <t>Demo owner</t>
        </is>
      </c>
      <c r="M49" s="5" t="inlineStr">
        <is>
          <t>2026-08-04</t>
        </is>
      </c>
      <c r="N49" s="7" t="inlineStr">
        <is>
          <t>Open</t>
        </is>
      </c>
      <c r="O49" s="7" t="n"/>
      <c r="P49" s="7" t="n"/>
      <c r="Q49" s="7" t="n"/>
    </row>
    <row r="50" ht="72" customHeight="1">
      <c r="A50" s="5" t="inlineStr">
        <is>
          <t>QC-046</t>
        </is>
      </c>
      <c r="B50" s="5" t="inlineStr">
        <is>
          <t>2026-07-28</t>
        </is>
      </c>
      <c r="C50" s="5" t="inlineStr">
        <is>
          <t>Leakage</t>
        </is>
      </c>
      <c r="D50" s="5" t="inlineStr">
        <is>
          <t>a. Formula consistency</t>
        </is>
      </c>
      <c r="E50" s="5" t="inlineStr">
        <is>
          <t>Logic</t>
        </is>
      </c>
      <c r="F50" s="5" t="inlineStr">
        <is>
          <t>Medium</t>
        </is>
      </c>
      <c r="G50" s="5" t="inlineStr">
        <is>
          <t>No</t>
        </is>
      </c>
      <c r="H50" s="5" t="inlineStr">
        <is>
          <t>Vendor risk score ignores amount and severity</t>
        </is>
      </c>
      <c r="I50" s="5" t="inlineStr">
        <is>
          <t>Every vendor scores exactly flags x 20. Osaka Precision KK has 2 flags and scores 40. A vendor with a single lost-discount flag of a few million scores 20, the same as a vendor with a single suspected fraud flag of 3,800 mn.</t>
        </is>
      </c>
      <c r="J50" s="5" t="inlineStr">
        <is>
          <t>Score weighted by exposure and severity, so the fraud case ranks first.</t>
        </is>
      </c>
      <c r="K50" s="5" t="inlineStr">
        <is>
          <t>Placeholder scoring formula, flagged as illustrative in the payload note.</t>
        </is>
      </c>
      <c r="L50" s="5" t="inlineStr">
        <is>
          <t>Backend / agent logic</t>
        </is>
      </c>
      <c r="M50" s="5" t="inlineStr">
        <is>
          <t>2026-08-11</t>
        </is>
      </c>
      <c r="N50" s="72" t="inlineStr">
        <is>
          <t>Fixed - awaiting retest</t>
        </is>
      </c>
      <c r="O50" s="7" t="n"/>
      <c r="P50" s="7" t="n"/>
      <c r="Q50" s="7" t="inlineStr">
        <is>
          <t>Fixed 30 Jul 2026 (commit f448e66). Score = 50% at-risk amount + 35% worst severity + 15% flag count, relative to the worst vendor in the batch. Live batch 17: Osaka 100, Shenzhen 64, Bahan Baku 56, Taipei 33.</t>
        </is>
      </c>
    </row>
    <row r="51" ht="72" customHeight="1">
      <c r="A51" s="5" t="inlineStr">
        <is>
          <t>QC-047</t>
        </is>
      </c>
      <c r="B51" s="5" t="inlineStr">
        <is>
          <t>2026-07-28</t>
        </is>
      </c>
      <c r="C51" s="5" t="inlineStr">
        <is>
          <t>Collection + Treasury</t>
        </is>
      </c>
      <c r="D51" s="5" t="inlineStr">
        <is>
          <t>a. Formula consistency</t>
        </is>
      </c>
      <c r="E51" s="5" t="inlineStr">
        <is>
          <t>Logic</t>
        </is>
      </c>
      <c r="F51" s="5" t="inlineStr">
        <is>
          <t>High</t>
        </is>
      </c>
      <c r="G51" s="5" t="inlineStr">
        <is>
          <t>Yes</t>
        </is>
      </c>
      <c r="H51" s="5" t="inlineStr">
        <is>
          <t>Treasury collection lever is not linked to the Collection book</t>
        </is>
      </c>
      <c r="I51" s="5" t="inlineStr">
        <is>
          <t>The Treasury simulator caps 'Accelerate collection' at IDR 8,000 mn. The Collection agent says the single largest customer alone frees 8,500 mn and all overdue frees 32,163 mn.</t>
        </is>
      </c>
      <c r="J51" s="5" t="inlineStr">
        <is>
          <t>The Treasury lever maximum should be derived from the Collection worklist, and pulling cash in Treasury should reduce AR in Collection.</t>
        </is>
      </c>
      <c r="K51" s="5" t="inlineStr">
        <is>
          <t>The two simulators are independent, so the cross-agent handover is narrative only, not computed.</t>
        </is>
      </c>
      <c r="L51" s="5" t="inlineStr">
        <is>
          <t>Backend / agent logic</t>
        </is>
      </c>
      <c r="M51" s="5" t="inlineStr">
        <is>
          <t>2026-08-04</t>
        </is>
      </c>
      <c r="N51" s="7" t="inlineStr">
        <is>
          <t>Open</t>
        </is>
      </c>
      <c r="O51" s="7" t="n"/>
      <c r="P51" s="7" t="n"/>
      <c r="Q51" s="7" t="n"/>
    </row>
    <row r="52" ht="150" customHeight="1">
      <c r="A52" s="5" t="inlineStr">
        <is>
          <t>QC-048</t>
        </is>
      </c>
      <c r="B52" s="5" t="inlineStr">
        <is>
          <t>2026-07-28</t>
        </is>
      </c>
      <c r="C52" s="5" t="inlineStr">
        <is>
          <t>All</t>
        </is>
      </c>
      <c r="D52" s="5" t="inlineStr">
        <is>
          <t>a. Formula consistency</t>
        </is>
      </c>
      <c r="E52" s="5" t="inlineStr">
        <is>
          <t>Architecture</t>
        </is>
      </c>
      <c r="F52" s="5" t="inlineStr">
        <is>
          <t>Medium</t>
        </is>
      </c>
      <c r="G52" s="5" t="inlineStr">
        <is>
          <t>No</t>
        </is>
      </c>
      <c r="H52" s="5" t="inlineStr">
        <is>
          <t>The mockup and the deployed app disagree on the numbers</t>
        </is>
      </c>
      <c r="I52" s="5" t="inlineStr">
        <is>
          <t>The standalone file 03_CFO_FinanceAI_Suite_Mockup_v9.4 and the deployed Azure app carry different figures. Week 5 cash: 6,698 vs 6,997.5. Forecast length: 14 weeks vs 13. Week 5 shortfall: -1,302 vs -1,002.5. Leakage category chart: populated vs all zeros. Recovery chart third bar: live 'Now' vs hardcoded 'Current 95%'. CLARIFIED 28 Jul: the Azure link is the build under test; the HTML file is the design reference that gets its dataset refreshed. So this is not two competing products, it is a reference that the app has drifted away from.</t>
        </is>
      </c>
      <c r="J52" s="5" t="inlineStr">
        <is>
          <t>After both are updated to the replacement dataset, the app's figures should match the reference mockup. Any remaining difference should be a deliberate, documented choice.</t>
        </is>
      </c>
      <c r="K52" s="5" t="inlineStr">
        <is>
          <t>The two tracks were updated at different times. The HTML reference is ahead of the deployed app on at least two fixes (leakage categories, recovery bar).</t>
        </is>
      </c>
      <c r="L52" s="5" t="inlineStr">
        <is>
          <t>Demo owner + Backend</t>
        </is>
      </c>
      <c r="M52" s="5" t="inlineStr">
        <is>
          <t>2026-08-11</t>
        </is>
      </c>
      <c r="N52" s="7" t="inlineStr">
        <is>
          <t>Open</t>
        </is>
      </c>
      <c r="O52" s="7" t="n"/>
      <c r="P52" s="7" t="n"/>
      <c r="Q52" s="7" t="inlineStr">
        <is>
          <t>Re-graded from Critical to Medium on 28 Jul 2026 after Susan clarified the roles: the Azure link is what gets tested, the mockup only needs its dataset refreshed. Not a demo blocker because the HTML is not shown to the audience. Still worth tracking so the app does not keep drifting from its own reference. An updated mockup carrying the replacement dataset was delivered as v10.0.</t>
        </is>
      </c>
    </row>
    <row r="53" ht="132" customHeight="1">
      <c r="A53" s="5" t="inlineStr">
        <is>
          <t>QC-049</t>
        </is>
      </c>
      <c r="B53" s="5" t="inlineStr">
        <is>
          <t>2026-07-28</t>
        </is>
      </c>
      <c r="C53" s="5" t="inlineStr">
        <is>
          <t>All</t>
        </is>
      </c>
      <c r="D53" s="5" t="inlineStr">
        <is>
          <t>c. Button / menu / function</t>
        </is>
      </c>
      <c r="E53" s="5" t="inlineStr">
        <is>
          <t>Feature gap</t>
        </is>
      </c>
      <c r="F53" s="5" t="inlineStr">
        <is>
          <t>Critical</t>
        </is>
      </c>
      <c r="G53" s="5" t="inlineStr">
        <is>
          <t>Yes</t>
        </is>
      </c>
      <c r="H53" s="5" t="inlineStr">
        <is>
          <t>No formula explanation panel anywhere in the app</t>
        </is>
      </c>
      <c r="I53" s="5" t="inlineStr">
        <is>
          <t>The mockup carries an info registry of about 40 entries. Every KPI, chart, table row and simulator stat has an (i) icon that opens the plain-language meaning plus the exact formula, for example 'Closing = Opening + Net cash flow; W5 = 5,789 vs 8,000 buffer'. The Azure dashboard payload has no equivalent field, and openapi.json exposes no endpoint for it.</t>
        </is>
      </c>
      <c r="J53" s="5" t="inlineStr">
        <is>
          <t>Every element on screen can explain its own number on demand, with the formula shown.</t>
        </is>
      </c>
      <c r="K53" s="5" t="inlineStr">
        <is>
          <t>The deployed app was built to a narrower scope than the reference mockup.</t>
        </is>
      </c>
      <c r="L53" s="5" t="inlineStr">
        <is>
          <t>Backend + frontend</t>
        </is>
      </c>
      <c r="M53" s="5" t="inlineStr">
        <is>
          <t>2026-08-04</t>
        </is>
      </c>
      <c r="N53" s="7" t="inlineStr">
        <is>
          <t>Open</t>
        </is>
      </c>
      <c r="O53" s="7" t="n"/>
      <c r="P53" s="7" t="n"/>
      <c r="Q53" s="7" t="inlineStr">
        <is>
          <t>Added 28 Jul 2026 from a feature comparison of mockup v10.0 against the Azure openapi.json endpoint list.</t>
        </is>
      </c>
    </row>
    <row r="54" ht="132" customHeight="1">
      <c r="A54" s="5" t="inlineStr">
        <is>
          <t>QC-050</t>
        </is>
      </c>
      <c r="B54" s="5" t="inlineStr">
        <is>
          <t>2026-07-28</t>
        </is>
      </c>
      <c r="C54" s="5" t="inlineStr">
        <is>
          <t>All</t>
        </is>
      </c>
      <c r="D54" s="5" t="inlineStr">
        <is>
          <t>c. Button / menu / function</t>
        </is>
      </c>
      <c r="E54" s="5" t="inlineStr">
        <is>
          <t>Feature gap</t>
        </is>
      </c>
      <c r="F54" s="5" t="inlineStr">
        <is>
          <t>Critical</t>
        </is>
      </c>
      <c r="G54" s="5" t="inlineStr">
        <is>
          <t>Yes</t>
        </is>
      </c>
      <c r="H54" s="5" t="inlineStr">
        <is>
          <t>No guided story mode</t>
        </is>
      </c>
      <c r="I54" s="5" t="inlineStr">
        <is>
          <t>The mockup has a 'Play the CFO story' control that walks the whole narrative automatically. The Azure app has no equivalent. openapi.json shows chat, dashboard, simulators, alerts and actions only.</t>
        </is>
      </c>
      <c r="J54" s="5" t="inlineStr">
        <is>
          <t>A scripted guided run, so the demo does not depend on live typing and can be repeated identically.</t>
        </is>
      </c>
      <c r="K54" s="5" t="inlineStr">
        <is>
          <t>The deployed app was built to a narrower scope than the reference mockup.</t>
        </is>
      </c>
      <c r="L54" s="5" t="inlineStr">
        <is>
          <t>Frontend</t>
        </is>
      </c>
      <c r="M54" s="5" t="inlineStr">
        <is>
          <t>2026-08-04</t>
        </is>
      </c>
      <c r="N54" s="7" t="inlineStr">
        <is>
          <t>Open</t>
        </is>
      </c>
      <c r="O54" s="7" t="n"/>
      <c r="P54" s="7" t="n"/>
      <c r="Q54" s="7" t="inlineStr">
        <is>
          <t>Added 28 Jul 2026 from a feature comparison of mockup v10.0 against the Azure openapi.json endpoint list.</t>
        </is>
      </c>
    </row>
    <row r="55" ht="132" customHeight="1">
      <c r="A55" s="5" t="inlineStr">
        <is>
          <t>QC-051</t>
        </is>
      </c>
      <c r="B55" s="5" t="inlineStr">
        <is>
          <t>2026-07-28</t>
        </is>
      </c>
      <c r="C55" s="5" t="inlineStr">
        <is>
          <t>All</t>
        </is>
      </c>
      <c r="D55" s="5" t="inlineStr">
        <is>
          <t>c. Button / menu / function</t>
        </is>
      </c>
      <c r="E55" s="5" t="inlineStr">
        <is>
          <t>Feature gap</t>
        </is>
      </c>
      <c r="F55" s="5" t="inlineStr">
        <is>
          <t>High</t>
        </is>
      </c>
      <c r="G55" s="5" t="inlineStr">
        <is>
          <t>Yes</t>
        </is>
      </c>
      <c r="H55" s="5" t="inlineStr">
        <is>
          <t>Simulator cannot save, load or compare a scenario</t>
        </is>
      </c>
      <c r="I55" s="5" t="inlineStr">
        <is>
          <t>The mockup has Save scenario, a Load scenario dropdown and Compare (n). The Azure app exposes only four recalculate endpoints, with no persistence and no comparison.</t>
        </is>
      </c>
      <c r="J55" s="5" t="inlineStr">
        <is>
          <t>At least save one scenario and compare it against the baseline side by side.</t>
        </is>
      </c>
      <c r="K55" s="5" t="inlineStr">
        <is>
          <t>The deployed app was built to a narrower scope than the reference mockup.</t>
        </is>
      </c>
      <c r="L55" s="5" t="inlineStr">
        <is>
          <t>Backend + frontend</t>
        </is>
      </c>
      <c r="M55" s="5" t="inlineStr">
        <is>
          <t>2026-08-08</t>
        </is>
      </c>
      <c r="N55" s="7" t="inlineStr">
        <is>
          <t>Open</t>
        </is>
      </c>
      <c r="O55" s="7" t="n"/>
      <c r="P55" s="7" t="n"/>
      <c r="Q55" s="7" t="inlineStr">
        <is>
          <t>Added 28 Jul 2026 from a feature comparison of mockup v10.0 against the Azure openapi.json endpoint list.</t>
        </is>
      </c>
    </row>
    <row r="56" ht="132" customHeight="1">
      <c r="A56" s="5" t="inlineStr">
        <is>
          <t>QC-052</t>
        </is>
      </c>
      <c r="B56" s="5" t="inlineStr">
        <is>
          <t>2026-07-28</t>
        </is>
      </c>
      <c r="C56" s="5" t="inlineStr">
        <is>
          <t>All</t>
        </is>
      </c>
      <c r="D56" s="5" t="inlineStr">
        <is>
          <t>c. Button / menu / function</t>
        </is>
      </c>
      <c r="E56" s="5" t="inlineStr">
        <is>
          <t>Feature gap</t>
        </is>
      </c>
      <c r="F56" s="5" t="inlineStr">
        <is>
          <t>High</t>
        </is>
      </c>
      <c r="G56" s="5" t="inlineStr">
        <is>
          <t>Yes</t>
        </is>
      </c>
      <c r="H56" s="5" t="inlineStr">
        <is>
          <t>Simulator has no presets</t>
        </is>
      </c>
      <c r="I56" s="5" t="inlineStr">
        <is>
          <t>The mockup offers four named presets per agent, for example 'Recommended: cover 1.8M @ +3%' and 'Base (95% dup / 90% overbill)'. The Azure simulator payload carries inputs and baseline only.</t>
        </is>
      </c>
      <c r="J56" s="5" t="inlineStr">
        <is>
          <t>Three to four named presets per agent, so the presenter never has to drag sliders precisely on camera.</t>
        </is>
      </c>
      <c r="K56" s="5" t="inlineStr">
        <is>
          <t>The deployed app was built to a narrower scope than the reference mockup.</t>
        </is>
      </c>
      <c r="L56" s="5" t="inlineStr">
        <is>
          <t>Backend + frontend</t>
        </is>
      </c>
      <c r="M56" s="5" t="inlineStr">
        <is>
          <t>2026-08-08</t>
        </is>
      </c>
      <c r="N56" s="7" t="inlineStr">
        <is>
          <t>Open</t>
        </is>
      </c>
      <c r="O56" s="7" t="n"/>
      <c r="P56" s="7" t="n"/>
      <c r="Q56" s="7" t="inlineStr">
        <is>
          <t>Added 28 Jul 2026 from a feature comparison of mockup v10.0 against the Azure openapi.json endpoint list.</t>
        </is>
      </c>
    </row>
    <row r="57" ht="132" customHeight="1">
      <c r="A57" s="5" t="inlineStr">
        <is>
          <t>QC-053</t>
        </is>
      </c>
      <c r="B57" s="5" t="inlineStr">
        <is>
          <t>2026-07-28</t>
        </is>
      </c>
      <c r="C57" s="5" t="inlineStr">
        <is>
          <t>All</t>
        </is>
      </c>
      <c r="D57" s="5" t="inlineStr">
        <is>
          <t>c. Button / menu / function</t>
        </is>
      </c>
      <c r="E57" s="5" t="inlineStr">
        <is>
          <t>Feature gap</t>
        </is>
      </c>
      <c r="F57" s="5" t="inlineStr">
        <is>
          <t>High</t>
        </is>
      </c>
      <c r="G57" s="5" t="inlineStr">
        <is>
          <t>No</t>
        </is>
      </c>
      <c r="H57" s="5" t="inlineStr">
        <is>
          <t>Simulator has no scope selector</t>
        </is>
      </c>
      <c r="I57" s="5" t="inlineStr">
        <is>
          <t>The mockup lets the user switch between All lines and FX lines, so a lever can be applied to part of the portfolio. The Azure simulator applies every lever to everything.</t>
        </is>
      </c>
      <c r="J57" s="5" t="inlineStr">
        <is>
          <t>A scope control, or a clear statement on screen that levers apply to the whole book.</t>
        </is>
      </c>
      <c r="K57" s="5" t="inlineStr">
        <is>
          <t>The deployed app was built to a narrower scope than the reference mockup.</t>
        </is>
      </c>
      <c r="L57" s="5" t="inlineStr">
        <is>
          <t>Backend + frontend</t>
        </is>
      </c>
      <c r="M57" s="5" t="inlineStr">
        <is>
          <t>2026-08-11</t>
        </is>
      </c>
      <c r="N57" s="7" t="inlineStr">
        <is>
          <t>Open</t>
        </is>
      </c>
      <c r="O57" s="7" t="n"/>
      <c r="P57" s="7" t="n"/>
      <c r="Q57" s="7" t="inlineStr">
        <is>
          <t>Added 28 Jul 2026 from a feature comparison of mockup v10.0 against the Azure openapi.json endpoint list.</t>
        </is>
      </c>
    </row>
    <row r="58" ht="132" customHeight="1">
      <c r="A58" s="5" t="inlineStr">
        <is>
          <t>QC-054</t>
        </is>
      </c>
      <c r="B58" s="5" t="inlineStr">
        <is>
          <t>2026-07-28</t>
        </is>
      </c>
      <c r="C58" s="5" t="inlineStr">
        <is>
          <t>All</t>
        </is>
      </c>
      <c r="D58" s="5" t="inlineStr">
        <is>
          <t>c. Button / menu / function</t>
        </is>
      </c>
      <c r="E58" s="5" t="inlineStr">
        <is>
          <t>Feature gap</t>
        </is>
      </c>
      <c r="F58" s="5" t="inlineStr">
        <is>
          <t>High</t>
        </is>
      </c>
      <c r="G58" s="5" t="inlineStr">
        <is>
          <t>Yes</t>
        </is>
      </c>
      <c r="H58" s="5" t="inlineStr">
        <is>
          <t>KPI tiles have no trend sparkline</t>
        </is>
      </c>
      <c r="I58" s="5" t="inlineStr">
        <is>
          <t>Every mockup KPI carries a five-point sparkline. The Azure KPI object has id, view, label, value, unit, delta, alert, value_num, target_num, progress and status, with no trend series.</t>
        </is>
      </c>
      <c r="J58" s="5" t="inlineStr">
        <is>
          <t>A short trend series on each KPI, so a CFO sees direction without opening a chart.</t>
        </is>
      </c>
      <c r="K58" s="5" t="inlineStr">
        <is>
          <t>The deployed app was built to a narrower scope than the reference mockup.</t>
        </is>
      </c>
      <c r="L58" s="5" t="inlineStr">
        <is>
          <t>Backend + frontend</t>
        </is>
      </c>
      <c r="M58" s="5" t="inlineStr">
        <is>
          <t>2026-08-08</t>
        </is>
      </c>
      <c r="N58" s="7" t="inlineStr">
        <is>
          <t>Open</t>
        </is>
      </c>
      <c r="O58" s="7" t="n"/>
      <c r="P58" s="7" t="n"/>
      <c r="Q58" s="7" t="inlineStr">
        <is>
          <t>Added 28 Jul 2026 from a feature comparison of mockup v10.0 against the Azure openapi.json endpoint list.</t>
        </is>
      </c>
    </row>
    <row r="59" ht="132" customHeight="1">
      <c r="A59" s="5" t="inlineStr">
        <is>
          <t>QC-055</t>
        </is>
      </c>
      <c r="B59" s="5" t="inlineStr">
        <is>
          <t>2026-07-28</t>
        </is>
      </c>
      <c r="C59" s="5" t="inlineStr">
        <is>
          <t>All</t>
        </is>
      </c>
      <c r="D59" s="5" t="inlineStr">
        <is>
          <t>c. Button / menu / function</t>
        </is>
      </c>
      <c r="E59" s="5" t="inlineStr">
        <is>
          <t>Feature gap</t>
        </is>
      </c>
      <c r="F59" s="5" t="inlineStr">
        <is>
          <t>High</t>
        </is>
      </c>
      <c r="G59" s="5" t="inlineStr">
        <is>
          <t>Yes</t>
        </is>
      </c>
      <c r="H59" s="5" t="inlineStr">
        <is>
          <t>Actions carry no confidence level</t>
        </is>
      </c>
      <c r="I59" s="5" t="inlineStr">
        <is>
          <t>The mockup labels each recommendation, for example 'High confidence' or 'Medium, customer must agree'. The Azure action object has id, action, agent, routes, alert_id, status, spec, impact, simulation_summary and created_at, with no confidence field.</t>
        </is>
      </c>
      <c r="J59" s="5" t="inlineStr">
        <is>
          <t>A confidence level and its basis on every action. A CFO will not approve a recommendation that will not say how sure it is.</t>
        </is>
      </c>
      <c r="K59" s="5" t="inlineStr">
        <is>
          <t>The deployed app was built to a narrower scope than the reference mockup.</t>
        </is>
      </c>
      <c r="L59" s="5" t="inlineStr">
        <is>
          <t>Backend</t>
        </is>
      </c>
      <c r="M59" s="5" t="inlineStr">
        <is>
          <t>2026-08-08</t>
        </is>
      </c>
      <c r="N59" s="7" t="inlineStr">
        <is>
          <t>Open</t>
        </is>
      </c>
      <c r="O59" s="7" t="n"/>
      <c r="P59" s="7" t="n"/>
      <c r="Q59" s="7" t="inlineStr">
        <is>
          <t>Added 28 Jul 2026 from a feature comparison of mockup v10.0 against the Azure openapi.json endpoint list.</t>
        </is>
      </c>
    </row>
    <row r="60" ht="132" customHeight="1">
      <c r="A60" s="5" t="inlineStr">
        <is>
          <t>QC-056</t>
        </is>
      </c>
      <c r="B60" s="5" t="inlineStr">
        <is>
          <t>2026-07-28</t>
        </is>
      </c>
      <c r="C60" s="5" t="inlineStr">
        <is>
          <t>All</t>
        </is>
      </c>
      <c r="D60" s="5" t="inlineStr">
        <is>
          <t>c. Button / menu / function</t>
        </is>
      </c>
      <c r="E60" s="5" t="inlineStr">
        <is>
          <t>Feature gap</t>
        </is>
      </c>
      <c r="F60" s="5" t="inlineStr">
        <is>
          <t>High</t>
        </is>
      </c>
      <c r="G60" s="5" t="inlineStr">
        <is>
          <t>Yes</t>
        </is>
      </c>
      <c r="H60" s="5" t="inlineStr">
        <is>
          <t>No visible cascade when an action executes</t>
        </is>
      </c>
      <c r="I60" s="5" t="inlineStr">
        <is>
          <t>The mockup animates the routing, showing each recipient picking the task up in turn. The Azure app has an approve endpoint that returns a status, with nothing to watch.</t>
        </is>
      </c>
      <c r="J60" s="5" t="inlineStr">
        <is>
          <t>A visible execution trail across the recipients. This is the single strongest agentic moment in the demo and it currently has no visual.</t>
        </is>
      </c>
      <c r="K60" s="5" t="inlineStr">
        <is>
          <t>The deployed app was built to a narrower scope than the reference mockup.</t>
        </is>
      </c>
      <c r="L60" s="5" t="inlineStr">
        <is>
          <t>Frontend</t>
        </is>
      </c>
      <c r="M60" s="5" t="inlineStr">
        <is>
          <t>2026-08-08</t>
        </is>
      </c>
      <c r="N60" s="7" t="inlineStr">
        <is>
          <t>Open</t>
        </is>
      </c>
      <c r="O60" s="7" t="n"/>
      <c r="P60" s="7" t="n"/>
      <c r="Q60" s="7" t="inlineStr">
        <is>
          <t>Added 28 Jul 2026 from a feature comparison of mockup v10.0 against the Azure openapi.json endpoint list.</t>
        </is>
      </c>
    </row>
    <row r="61" ht="132" customHeight="1">
      <c r="A61" s="5" t="inlineStr">
        <is>
          <t>QC-057</t>
        </is>
      </c>
      <c r="B61" s="5" t="inlineStr">
        <is>
          <t>2026-07-28</t>
        </is>
      </c>
      <c r="C61" s="5" t="inlineStr">
        <is>
          <t>All</t>
        </is>
      </c>
      <c r="D61" s="5" t="inlineStr">
        <is>
          <t>c. Button / menu / function</t>
        </is>
      </c>
      <c r="E61" s="5" t="inlineStr">
        <is>
          <t>Feature gap</t>
        </is>
      </c>
      <c r="F61" s="5" t="inlineStr">
        <is>
          <t>High</t>
        </is>
      </c>
      <c r="G61" s="5" t="inlineStr">
        <is>
          <t>Yes</t>
        </is>
      </c>
      <c r="H61" s="5" t="inlineStr">
        <is>
          <t>No status notification feed</t>
        </is>
      </c>
      <c r="I61" s="5" t="inlineStr">
        <is>
          <t>The mockup has a bell with a live feed of what the agent did and what awaits approval, plus toast pop-ups. Azure has alerts, which are findings, not activity. There is no endpoint for agent activity.</t>
        </is>
      </c>
      <c r="J61" s="5" t="inlineStr">
        <is>
          <t>A separate activity feed, distinct from alerts, showing what the agent executed and when.</t>
        </is>
      </c>
      <c r="K61" s="5" t="inlineStr">
        <is>
          <t>The deployed app was built to a narrower scope than the reference mockup.</t>
        </is>
      </c>
      <c r="L61" s="5" t="inlineStr">
        <is>
          <t>Backend + frontend</t>
        </is>
      </c>
      <c r="M61" s="5" t="inlineStr">
        <is>
          <t>2026-08-11</t>
        </is>
      </c>
      <c r="N61" s="7" t="inlineStr">
        <is>
          <t>Open</t>
        </is>
      </c>
      <c r="O61" s="7" t="n"/>
      <c r="P61" s="7" t="n"/>
      <c r="Q61" s="7" t="inlineStr">
        <is>
          <t>Added 28 Jul 2026 from a feature comparison of mockup v10.0 against the Azure openapi.json endpoint list.</t>
        </is>
      </c>
    </row>
    <row r="62" ht="132" customHeight="1">
      <c r="A62" s="5" t="inlineStr">
        <is>
          <t>QC-058</t>
        </is>
      </c>
      <c r="B62" s="5" t="inlineStr">
        <is>
          <t>2026-07-28</t>
        </is>
      </c>
      <c r="C62" s="5" t="inlineStr">
        <is>
          <t>All</t>
        </is>
      </c>
      <c r="D62" s="5" t="inlineStr">
        <is>
          <t>c. Button / menu / function</t>
        </is>
      </c>
      <c r="E62" s="5" t="inlineStr">
        <is>
          <t>Feature gap</t>
        </is>
      </c>
      <c r="F62" s="5" t="inlineStr">
        <is>
          <t>High</t>
        </is>
      </c>
      <c r="G62" s="5" t="inlineStr">
        <is>
          <t>Yes</t>
        </is>
      </c>
      <c r="H62" s="5" t="inlineStr">
        <is>
          <t>No Bahasa Indonesia toggle</t>
        </is>
      </c>
      <c r="I62" s="5" t="inlineStr">
        <is>
          <t>The mockup has a Bahasa ON switch. The Azure app has no language parameter on any endpoint.</t>
        </is>
      </c>
      <c r="J62" s="5" t="inlineStr">
        <is>
          <t>A language switch. The audience is Indonesian, and being able to flip to Bahasa mid-demo is a differentiator no competitor will show.</t>
        </is>
      </c>
      <c r="K62" s="5" t="inlineStr">
        <is>
          <t>The deployed app was built to a narrower scope than the reference mockup.</t>
        </is>
      </c>
      <c r="L62" s="5" t="inlineStr">
        <is>
          <t>Backend + frontend</t>
        </is>
      </c>
      <c r="M62" s="5" t="inlineStr">
        <is>
          <t>2026-08-08</t>
        </is>
      </c>
      <c r="N62" s="7" t="inlineStr">
        <is>
          <t>Open</t>
        </is>
      </c>
      <c r="O62" s="7" t="n"/>
      <c r="P62" s="7" t="n"/>
      <c r="Q62" s="7" t="inlineStr">
        <is>
          <t>Added 28 Jul 2026 from a feature comparison of mockup v10.0 against the Azure openapi.json endpoint list.</t>
        </is>
      </c>
    </row>
    <row r="63" ht="132" customHeight="1">
      <c r="A63" s="5" t="inlineStr">
        <is>
          <t>QC-059</t>
        </is>
      </c>
      <c r="B63" s="5" t="inlineStr">
        <is>
          <t>2026-07-28</t>
        </is>
      </c>
      <c r="C63" s="5" t="inlineStr">
        <is>
          <t>All</t>
        </is>
      </c>
      <c r="D63" s="5" t="inlineStr">
        <is>
          <t>c. Button / menu / function</t>
        </is>
      </c>
      <c r="E63" s="5" t="inlineStr">
        <is>
          <t>Feature gap</t>
        </is>
      </c>
      <c r="F63" s="5" t="inlineStr">
        <is>
          <t>High</t>
        </is>
      </c>
      <c r="G63" s="5" t="inlineStr">
        <is>
          <t>Yes</t>
        </is>
      </c>
      <c r="H63" s="5" t="inlineStr">
        <is>
          <t>No reset to baseline</t>
        </is>
      </c>
      <c r="I63" s="5" t="inlineStr">
        <is>
          <t>The mockup has a Reset control that returns every lever and view to the opening state. Azure has DELETE /api/alerts and POST /api/alerts/populate, which clear and reseed alerts, but nothing that resets the simulators.</t>
        </is>
      </c>
      <c r="J63" s="5" t="inlineStr">
        <is>
          <t>One control that returns the whole app to its opening state. Without it you cannot record several clean takes.</t>
        </is>
      </c>
      <c r="K63" s="5" t="inlineStr">
        <is>
          <t>The deployed app was built to a narrower scope than the reference mockup.</t>
        </is>
      </c>
      <c r="L63" s="5" t="inlineStr">
        <is>
          <t>Backend + frontend</t>
        </is>
      </c>
      <c r="M63" s="5" t="inlineStr">
        <is>
          <t>2026-08-04</t>
        </is>
      </c>
      <c r="N63" s="7" t="inlineStr">
        <is>
          <t>Open</t>
        </is>
      </c>
      <c r="O63" s="7" t="n"/>
      <c r="P63" s="7" t="n"/>
      <c r="Q63" s="7" t="inlineStr">
        <is>
          <t>Added 28 Jul 2026 from a feature comparison of mockup v10.0 against the Azure openapi.json endpoint list.</t>
        </is>
      </c>
    </row>
    <row r="64" ht="132" customHeight="1">
      <c r="A64" s="5" t="inlineStr">
        <is>
          <t>QC-060</t>
        </is>
      </c>
      <c r="B64" s="5" t="inlineStr">
        <is>
          <t>2026-07-28</t>
        </is>
      </c>
      <c r="C64" s="5" t="inlineStr">
        <is>
          <t>All</t>
        </is>
      </c>
      <c r="D64" s="5" t="inlineStr">
        <is>
          <t>c. Button / menu / function</t>
        </is>
      </c>
      <c r="E64" s="5" t="inlineStr">
        <is>
          <t>Feature gap</t>
        </is>
      </c>
      <c r="F64" s="5" t="inlineStr">
        <is>
          <t>Medium</t>
        </is>
      </c>
      <c r="G64" s="5" t="inlineStr">
        <is>
          <t>No</t>
        </is>
      </c>
      <c r="H64" s="5" t="inlineStr">
        <is>
          <t>No exact-parameter calculation flow</t>
        </is>
      </c>
      <c r="I64" s="5" t="inlineStr">
        <is>
          <t>The mockup has 'Calculate exactly with my parameters', where the CFO supplies their own assumptions and the agent recomputes and shows the working. Azure has chat and the recalculate endpoints, but no flow that binds the two.</t>
        </is>
      </c>
      <c r="J64" s="5" t="inlineStr">
        <is>
          <t>A path from a CFO-supplied assumption straight into a recalculated, shown-working answer.</t>
        </is>
      </c>
      <c r="K64" s="5" t="inlineStr">
        <is>
          <t>The deployed app was built to a narrower scope than the reference mockup.</t>
        </is>
      </c>
      <c r="L64" s="5" t="inlineStr">
        <is>
          <t>Backend + frontend</t>
        </is>
      </c>
      <c r="M64" s="5" t="inlineStr">
        <is>
          <t>2026-08-11</t>
        </is>
      </c>
      <c r="N64" s="7" t="inlineStr">
        <is>
          <t>Open</t>
        </is>
      </c>
      <c r="O64" s="7" t="n"/>
      <c r="P64" s="7" t="n"/>
      <c r="Q64" s="7" t="inlineStr">
        <is>
          <t>Added 28 Jul 2026 from a feature comparison of mockup v10.0 against the Azure openapi.json endpoint list.</t>
        </is>
      </c>
    </row>
    <row r="65" ht="132" customHeight="1">
      <c r="A65" s="5" t="inlineStr">
        <is>
          <t>QC-061</t>
        </is>
      </c>
      <c r="B65" s="5" t="inlineStr">
        <is>
          <t>2026-07-28</t>
        </is>
      </c>
      <c r="C65" s="5" t="inlineStr">
        <is>
          <t>All</t>
        </is>
      </c>
      <c r="D65" s="5" t="inlineStr">
        <is>
          <t>c. Button / menu / function</t>
        </is>
      </c>
      <c r="E65" s="5" t="inlineStr">
        <is>
          <t>Feature gap</t>
        </is>
      </c>
      <c r="F65" s="5" t="inlineStr">
        <is>
          <t>Medium</t>
        </is>
      </c>
      <c r="G65" s="5" t="inlineStr">
        <is>
          <t>No</t>
        </is>
      </c>
      <c r="H65" s="5" t="inlineStr">
        <is>
          <t>Next best action cards are not on the dashboard</t>
        </is>
      </c>
      <c r="I65" s="5" t="inlineStr">
        <is>
          <t>The mockup puts two next best action cards at the bottom of every agent view, each executable in one click. On Azure, actions live behind a separate list and are not surfaced next to the chart that caused them.</t>
        </is>
      </c>
      <c r="J65" s="5" t="inlineStr">
        <is>
          <t>One or two next best actions on the dashboard itself, next to the evidence.</t>
        </is>
      </c>
      <c r="K65" s="5" t="inlineStr">
        <is>
          <t>The deployed app was built to a narrower scope than the reference mockup.</t>
        </is>
      </c>
      <c r="L65" s="5" t="inlineStr">
        <is>
          <t>Frontend</t>
        </is>
      </c>
      <c r="M65" s="5" t="inlineStr">
        <is>
          <t>2026-08-11</t>
        </is>
      </c>
      <c r="N65" s="7" t="inlineStr">
        <is>
          <t>Open</t>
        </is>
      </c>
      <c r="O65" s="7" t="n"/>
      <c r="P65" s="7" t="n"/>
      <c r="Q65" s="7" t="inlineStr">
        <is>
          <t>Added 28 Jul 2026 from a feature comparison of mockup v10.0 against the Azure openapi.json endpoint list.</t>
        </is>
      </c>
    </row>
    <row r="66" ht="132" customHeight="1">
      <c r="A66" s="5" t="inlineStr">
        <is>
          <t>QC-062</t>
        </is>
      </c>
      <c r="B66" s="5" t="inlineStr">
        <is>
          <t>2026-07-28</t>
        </is>
      </c>
      <c r="C66" s="5" t="inlineStr">
        <is>
          <t>All</t>
        </is>
      </c>
      <c r="D66" s="5" t="inlineStr">
        <is>
          <t>c. Button / menu / function</t>
        </is>
      </c>
      <c r="E66" s="5" t="inlineStr">
        <is>
          <t>Feature gap</t>
        </is>
      </c>
      <c r="F66" s="5" t="inlineStr">
        <is>
          <t>Medium</t>
        </is>
      </c>
      <c r="G66" s="5" t="inlineStr">
        <is>
          <t>No</t>
        </is>
      </c>
      <c r="H66" s="5" t="inlineStr">
        <is>
          <t>Chat cannot be verified to render charts and tables</t>
        </is>
      </c>
      <c r="I66" s="5" t="inlineStr">
        <is>
          <t>The mockup answers a CFO challenge with a rendered chart plus a table and a confidence badge. The Azure chat endpoint is POST only and cannot be exercised from a read-only review, so this is unknown rather than confirmed missing.</t>
        </is>
      </c>
      <c r="J66" s="5" t="inlineStr">
        <is>
          <t>Confirm by running manual test MT-019. If chat returns text only, this becomes a real gap.</t>
        </is>
      </c>
      <c r="K66" s="5" t="inlineStr">
        <is>
          <t>The deployed app was built to a narrower scope than the reference mockup.</t>
        </is>
      </c>
      <c r="L66" s="5" t="inlineStr">
        <is>
          <t>Demo owner</t>
        </is>
      </c>
      <c r="M66" s="5" t="inlineStr">
        <is>
          <t>2026-08-04</t>
        </is>
      </c>
      <c r="N66" s="7" t="inlineStr">
        <is>
          <t>Open</t>
        </is>
      </c>
      <c r="O66" s="7" t="n"/>
      <c r="P66" s="7" t="n"/>
      <c r="Q66" s="7" t="inlineStr">
        <is>
          <t>Added 28 Jul 2026 from a feature comparison of mockup v10.0 against the Azure openapi.json endpoint list.</t>
        </is>
      </c>
    </row>
  </sheetData>
  <autoFilter ref="A4:Q66"/>
  <conditionalFormatting sqref="F5:F51">
    <cfRule type="cellIs" priority="2" operator="equal" dxfId="52">
      <formula>"Critical"</formula>
    </cfRule>
    <cfRule type="cellIs" priority="3" operator="equal" dxfId="47">
      <formula>"High"</formula>
    </cfRule>
    <cfRule type="cellIs" priority="4" operator="equal" dxfId="64">
      <formula>"Medium"</formula>
    </cfRule>
  </conditionalFormatting>
  <conditionalFormatting sqref="G5:G51">
    <cfRule type="cellIs" priority="5" operator="equal" dxfId="45">
      <formula>"Yes"</formula>
    </cfRule>
  </conditionalFormatting>
  <conditionalFormatting sqref="N5:N51">
    <cfRule type="cellIs" priority="6" operator="equal" dxfId="46">
      <formula>"Closed"</formula>
    </cfRule>
    <cfRule type="cellIs" priority="7" operator="equal" dxfId="59">
      <formula>"Retest passed"</formula>
    </cfRule>
  </conditionalFormatting>
  <dataValidations count="2">
    <dataValidation sqref="N5:N52" showDropDown="0" showInputMessage="0" showErrorMessage="0" allowBlank="1" type="list">
      <formula1>"Open,In progress,Fixed - awaiting retest,Retest passed,Closed,Deferred,Not a defect"</formula1>
      <formula2>0</formula2>
    </dataValidation>
    <dataValidation sqref="P5:P51" showDropDown="0" showInputMessage="0" showErrorMessage="0" allowBlank="1" type="list">
      <formula1>"Pass,Fail,Partial,Not run"</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Q66"/>
  <sheetViews>
    <sheetView showGridLines="0" zoomScaleNormal="100" workbookViewId="0">
      <pane xSplit="8" ySplit="4" topLeftCell="K7" activePane="bottomRight" state="frozen"/>
      <selection pane="topRight" activeCell="I1" sqref="I1"/>
      <selection pane="bottomLeft" activeCell="A5" sqref="A5"/>
      <selection pane="bottomRight" activeCell="G5" sqref="G5"/>
    </sheetView>
  </sheetViews>
  <sheetFormatPr baseColWidth="8" defaultColWidth="8.7265625" defaultRowHeight="14.5"/>
  <cols>
    <col width="9" customWidth="1" style="10" min="1" max="1"/>
    <col width="13" customWidth="1" style="10" min="2" max="2"/>
    <col width="18" customWidth="1" style="10" min="3" max="3"/>
    <col width="12.453125" customWidth="1" style="10" min="4" max="4"/>
    <col width="13" customWidth="1" style="10" min="5" max="5"/>
    <col width="11" customWidth="1" style="10" min="6" max="6"/>
    <col width="15" customWidth="1" style="10" min="7" max="7"/>
    <col width="44" customWidth="1" style="10" min="8" max="8"/>
    <col width="74" customWidth="1" style="10" min="9" max="9"/>
    <col width="46" customWidth="1" style="10" min="10" max="11"/>
    <col width="22" customWidth="1" style="10" min="12" max="12"/>
    <col width="13" customWidth="1" style="10" min="13" max="13"/>
    <col width="15" customWidth="1" style="10" min="14" max="14"/>
    <col width="13" customWidth="1" style="10" min="15" max="15"/>
    <col width="15" customWidth="1" style="10" min="16" max="16"/>
    <col width="57.1796875" customWidth="1" style="10" min="17" max="17"/>
    <col width="8.7265625" customWidth="1" style="10" min="18" max="16384"/>
  </cols>
  <sheetData>
    <row r="1" ht="19.5" customHeight="1">
      <c r="A1" s="36" t="inlineStr">
        <is>
          <t>Daftar temuan pengujian (Bahasa Indonesia)</t>
        </is>
      </c>
    </row>
    <row r="2">
      <c r="A2" s="37" t="inlineStr">
        <is>
          <t>Nomor QC sama persis dengan sheet 01_Findings. Kolom kuning diisi oleh tim. Sheet 00_Summary menghitung dari sheet 01, jadi status wajib diperbarui di kedua sheet atau pilih satu sheet sebagai acuan.</t>
        </is>
      </c>
    </row>
    <row r="4" ht="26" customHeight="1">
      <c r="A4" s="27" t="inlineStr">
        <is>
          <t>No QC</t>
        </is>
      </c>
      <c r="B4" s="27" t="inlineStr">
        <is>
          <t>Tanggal temuan</t>
        </is>
      </c>
      <c r="C4" s="27" t="inlineStr">
        <is>
          <t>Agent</t>
        </is>
      </c>
      <c r="D4" s="27" t="inlineStr">
        <is>
          <t>Area QC</t>
        </is>
      </c>
      <c r="E4" s="27" t="inlineStr">
        <is>
          <t>Jenis</t>
        </is>
      </c>
      <c r="F4" s="27" t="inlineStr">
        <is>
          <t>Tingkat</t>
        </is>
      </c>
      <c r="G4" s="27" t="inlineStr">
        <is>
          <t>Penghambat demo</t>
        </is>
      </c>
      <c r="H4" s="27" t="inlineStr">
        <is>
          <t>Temuan</t>
        </is>
      </c>
      <c r="I4" s="27" t="inlineStr">
        <is>
          <t>Bukti yang ditemukan</t>
        </is>
      </c>
      <c r="J4" s="27" t="inlineStr">
        <is>
          <t>Perilaku yang seharusnya</t>
        </is>
      </c>
      <c r="K4" s="27" t="inlineStr">
        <is>
          <t>Dugaan akar masalah</t>
        </is>
      </c>
      <c r="L4" s="27" t="inlineStr">
        <is>
          <t>Penanggung jawab</t>
        </is>
      </c>
      <c r="M4" s="27" t="inlineStr">
        <is>
          <t>Target selesai</t>
        </is>
      </c>
      <c r="N4" s="27" t="inlineStr">
        <is>
          <t>Status</t>
        </is>
      </c>
      <c r="O4" s="27" t="inlineStr">
        <is>
          <t>Tanggal uji ulang</t>
        </is>
      </c>
      <c r="P4" s="27" t="inlineStr">
        <is>
          <t>Hasil uji ulang</t>
        </is>
      </c>
      <c r="Q4" s="27" t="inlineStr">
        <is>
          <t>Catatan</t>
        </is>
      </c>
    </row>
    <row r="5" ht="65" customHeight="1">
      <c r="A5" s="39" t="inlineStr">
        <is>
          <t>QC-001</t>
        </is>
      </c>
      <c r="B5" s="39" t="inlineStr">
        <is>
          <t>2026-07-28</t>
        </is>
      </c>
      <c r="C5" s="39" t="inlineStr">
        <is>
          <t>Leakage</t>
        </is>
      </c>
      <c r="D5" s="39" t="inlineStr">
        <is>
          <t>a. Kesesuaian formula</t>
        </is>
      </c>
      <c r="E5" s="39" t="inlineStr">
        <is>
          <t>Data</t>
        </is>
      </c>
      <c r="F5" s="39" t="inlineStr">
        <is>
          <t>Kritis</t>
        </is>
      </c>
      <c r="G5" s="39" t="inlineStr">
        <is>
          <t>Ya</t>
        </is>
      </c>
      <c r="H5" s="39" t="inlineStr">
        <is>
          <t>Grafik kategori Leakage menampilkan nol semua</t>
        </is>
      </c>
      <c r="I5" s="39" t="inlineStr">
        <is>
          <t>Endpoint dashboard finance.leakage mengembalikan views.categories.data dengan semua nilai 0.0 (Bank-change fraud 0, Duplicate payment 0, Overbilling 0, Lost discount 0, Split/threshold 0). Donut 'Leakage mix' juga nol semua, kolom Amount pada worklist berisi '0' untuk 10 baris, dan kolom 'At risk' pada vendor radar berisi '0' untuk 8 vendor. Padahal KPI tile menampilkan 7.845 / 3.800 / 3.050 / 4.300.</t>
        </is>
      </c>
      <c r="J5" s="39" t="inlineStr">
        <is>
          <t>Jumlah per kategori harus sama dengan 7.845 mn yang tampil di KPI 'Flagged this cycle'.</t>
        </is>
      </c>
      <c r="K5" s="39" t="inlineStr">
        <is>
          <t>Kolom amount tidak ter-mapping untuk import batch 17. KPI agregat dihitung dari query yang berbeda dengan query rincian per kategori.</t>
        </is>
      </c>
      <c r="L5" s="39" t="inlineStr">
        <is>
          <t>Backend / data</t>
        </is>
      </c>
      <c r="M5" s="39" t="inlineStr">
        <is>
          <t>2026-07-31</t>
        </is>
      </c>
      <c r="N5" s="72" t="inlineStr">
        <is>
          <t>Sudah diperbaiki - menunggu uji ulang</t>
        </is>
      </c>
      <c r="O5" s="28" t="n"/>
      <c r="P5" s="28" t="n"/>
      <c r="Q5" s="28" t="inlineStr">
        <is>
          <t>Fixed 30 Jul 2026 (branch bug-fix-trial, commit 53daa2c). category_breakdowns.amount_at_risk_idr_mn was probed as amount_idr_mn, so _row_get returned None and every value became 0.0 with no error. Verified on live DB batch 17: bars 3,800 / 3,050 / 900 / 95 sum to 7,845 = the Flagged this cycle card.</t>
        </is>
      </c>
    </row>
    <row r="6" ht="26" customHeight="1">
      <c r="A6" s="39" t="inlineStr">
        <is>
          <t>QC-002</t>
        </is>
      </c>
      <c r="B6" s="39" t="inlineStr">
        <is>
          <t>2026-07-28</t>
        </is>
      </c>
      <c r="C6" s="39" t="inlineStr">
        <is>
          <t>Semua agent</t>
        </is>
      </c>
      <c r="D6" s="39" t="inlineStr">
        <is>
          <t>a. Kesesuaian formula</t>
        </is>
      </c>
      <c r="E6" s="39" t="inlineStr">
        <is>
          <t>Arsitektur</t>
        </is>
      </c>
      <c r="F6" s="39" t="inlineStr">
        <is>
          <t>Kritis</t>
        </is>
      </c>
      <c r="G6" s="39" t="inlineStr">
        <is>
          <t>Ya</t>
        </is>
      </c>
      <c r="H6" s="39" t="inlineStr">
        <is>
          <t>Empat agent berjalan di atas empat batch data yang tidak berhubungan</t>
        </is>
      </c>
      <c r="I6" s="39" t="inlineStr">
        <is>
          <t>import_batch_id = 19 untuk Finance, 17 untuk Leakage, 11 untuk Collection, dan 2 untuk Treasury.</t>
        </is>
      </c>
      <c r="J6" s="39" t="inlineStr">
        <is>
          <t>Satu ledger bersama, sehingga setiap angka bisa ditelusuri lintas agent.</t>
        </is>
      </c>
      <c r="K6" s="39" t="inlineStr">
        <is>
          <t>Tidak ada single source of truth. Setiap agent di-seed secara terpisah.</t>
        </is>
      </c>
      <c r="L6" s="39" t="inlineStr">
        <is>
          <t>Backend / data</t>
        </is>
      </c>
      <c r="M6" s="39" t="inlineStr">
        <is>
          <t>2026-07-31</t>
        </is>
      </c>
      <c r="N6" s="28" t="inlineStr">
        <is>
          <t>Terbuka</t>
        </is>
      </c>
      <c r="O6" s="28" t="n"/>
      <c r="P6" s="28" t="n"/>
      <c r="Q6" s="28" t="n"/>
    </row>
    <row r="7" ht="26" customHeight="1">
      <c r="A7" s="39" t="inlineStr">
        <is>
          <t>QC-003</t>
        </is>
      </c>
      <c r="B7" s="39" t="inlineStr">
        <is>
          <t>2026-07-28</t>
        </is>
      </c>
      <c r="C7" s="39" t="inlineStr">
        <is>
          <t>Finance + Collection</t>
        </is>
      </c>
      <c r="D7" s="39" t="inlineStr">
        <is>
          <t>a. Kesesuaian formula</t>
        </is>
      </c>
      <c r="E7" s="39" t="inlineStr">
        <is>
          <t>Formula</t>
        </is>
      </c>
      <c r="F7" s="39" t="inlineStr">
        <is>
          <t>Kritis</t>
        </is>
      </c>
      <c r="G7" s="39" t="inlineStr">
        <is>
          <t>Ya</t>
        </is>
      </c>
      <c r="H7" s="39" t="inlineStr">
        <is>
          <t>Basis pendapatan Collection sekitar 15 kali lipat pendapatan Finance</t>
        </is>
      </c>
      <c r="I7" s="39" t="inlineStr">
        <is>
          <t>Collection raw.summary.annual_credit_sales_idr_mn = 700.000. KPI revenue Finance = 46.510. Piutang 110.000 setara 2,4 kali seluruh pendapatan tahunan Finance.</t>
        </is>
      </c>
      <c r="J7" s="39" t="inlineStr">
        <is>
          <t>DSO harus dibagi dengan pendapatan yang sama dengan yang dilaporkan agent Finance.</t>
        </is>
      </c>
      <c r="K7" s="39" t="inlineStr">
        <is>
          <t>Dua dataset seed yang tidak berhubungan (lihat temuan batch di atas).</t>
        </is>
      </c>
      <c r="L7" s="39" t="inlineStr">
        <is>
          <t>Backend / data</t>
        </is>
      </c>
      <c r="M7" s="39" t="inlineStr">
        <is>
          <t>2026-07-31</t>
        </is>
      </c>
      <c r="N7" s="28" t="inlineStr">
        <is>
          <t>Terbuka</t>
        </is>
      </c>
      <c r="O7" s="28" t="n"/>
      <c r="P7" s="28" t="n"/>
      <c r="Q7" s="28" t="n"/>
    </row>
    <row r="8" ht="52" customHeight="1">
      <c r="A8" s="39" t="inlineStr">
        <is>
          <t>QC-004</t>
        </is>
      </c>
      <c r="B8" s="39" t="inlineStr">
        <is>
          <t>2026-07-28</t>
        </is>
      </c>
      <c r="C8" s="39" t="inlineStr">
        <is>
          <t>Treasury</t>
        </is>
      </c>
      <c r="D8" s="39" t="inlineStr">
        <is>
          <t>a. Kesesuaian formula</t>
        </is>
      </c>
      <c r="E8" s="39" t="inlineStr">
        <is>
          <t>Formula</t>
        </is>
      </c>
      <c r="F8" s="39" t="inlineStr">
        <is>
          <t>Kritis</t>
        </is>
      </c>
      <c r="G8" s="39" t="inlineStr">
        <is>
          <t>Ya</t>
        </is>
      </c>
      <c r="H8" s="39" t="inlineStr">
        <is>
          <t>Aksi penundaan pembayaran menggerakkan headroom ke arah yang salah</t>
        </is>
      </c>
      <c r="I8" s="39" t="inlineStr">
        <is>
          <t>Aksi 'Defer noncritical Week 5 payable' menampilkan dampak 'week6 headroom: 1012.5 +3000 -&gt; 4012.5'. Memindahkan utang KE Minggu 6 seharusnya MENURUNKAN headroom Minggu 6, bukan menaikkan. Spec-nya juga mengklaim kas Minggu 5 naik di atas IDR 10.000 mn, padahal 6.997,5 + 3.000 = 9.997,5.</t>
        </is>
      </c>
      <c r="J8" s="39" t="inlineStr">
        <is>
          <t>Headroom Minggu 5: -1.002,5 -&gt; +1.997,5 dan headroom Minggu 6: 1.012,5 -&gt; -1.987,5, sehingga trade-off-nya terlihat.</t>
        </is>
      </c>
      <c r="K8" s="39" t="inlineStr">
        <is>
          <t>Teks dampak ditulis manual, bukan dihitung dari forecast. Tanda (+/-) dan label minggu dua-duanya salah.</t>
        </is>
      </c>
      <c r="L8" s="39" t="inlineStr">
        <is>
          <t>Backend / logika agent</t>
        </is>
      </c>
      <c r="M8" s="39" t="inlineStr">
        <is>
          <t>2026-07-31</t>
        </is>
      </c>
      <c r="N8" s="28" t="inlineStr">
        <is>
          <t>Terbuka</t>
        </is>
      </c>
      <c r="O8" s="28" t="n"/>
      <c r="P8" s="28" t="n"/>
      <c r="Q8" s="28" t="n"/>
    </row>
    <row r="9" ht="39" customHeight="1">
      <c r="A9" s="39" t="inlineStr">
        <is>
          <t>QC-005</t>
        </is>
      </c>
      <c r="B9" s="39" t="inlineStr">
        <is>
          <t>2026-07-28</t>
        </is>
      </c>
      <c r="C9" s="39" t="inlineStr">
        <is>
          <t>Treasury</t>
        </is>
      </c>
      <c r="D9" s="39" t="inlineStr">
        <is>
          <t>a. Kesesuaian formula</t>
        </is>
      </c>
      <c r="E9" s="39" t="inlineStr">
        <is>
          <t>Formula</t>
        </is>
      </c>
      <c r="F9" s="39" t="inlineStr">
        <is>
          <t>Kritis</t>
        </is>
      </c>
      <c r="G9" s="39" t="inlineStr">
        <is>
          <t>Ya</t>
        </is>
      </c>
      <c r="H9" s="39" t="inlineStr">
        <is>
          <t>Aksi mencampur headroom dengan saldo kas dalam satu perbandingan</t>
        </is>
      </c>
      <c r="I9" s="39" t="inlineStr">
        <is>
          <t>Aksi 'Accelerate Customer A collection' menampilkan 'cash buffer: -1002.5 -&gt; +6997.5'. Angka -1.002,5 adalah headroom, sedangkan 6.997,5 adalah saldo kas akhir. Spec-nya sendiri menyebut penagihan minimal IDR 1.100 mn, yang hanya menghasilkan +97,5.</t>
        </is>
      </c>
      <c r="J9" s="39" t="inlineStr">
        <is>
          <t>Satu satuan untuk satu metrik. Pilih headroom -1.002,5 -&gt; +97,5, atau saldo kas 6.997,5 -&gt; 8.097,5.</t>
        </is>
      </c>
      <c r="K9" s="39" t="inlineStr">
        <is>
          <t>Teks dampak berupa free text tanpa validasi satuan.</t>
        </is>
      </c>
      <c r="L9" s="39" t="inlineStr">
        <is>
          <t>Backend / logika agent</t>
        </is>
      </c>
      <c r="M9" s="39" t="inlineStr">
        <is>
          <t>2026-07-31</t>
        </is>
      </c>
      <c r="N9" s="28" t="inlineStr">
        <is>
          <t>Terbuka</t>
        </is>
      </c>
      <c r="O9" s="28" t="n"/>
      <c r="P9" s="28" t="n"/>
      <c r="Q9" s="28" t="n"/>
    </row>
    <row r="10" ht="39" customHeight="1">
      <c r="A10" s="39" t="inlineStr">
        <is>
          <t>QC-006</t>
        </is>
      </c>
      <c r="B10" s="39" t="inlineStr">
        <is>
          <t>2026-07-28</t>
        </is>
      </c>
      <c r="C10" s="39" t="inlineStr">
        <is>
          <t>Semua agent</t>
        </is>
      </c>
      <c r="D10" s="39" t="inlineStr">
        <is>
          <t>d. Prompt dan respons</t>
        </is>
      </c>
      <c r="E10" s="39" t="inlineStr">
        <is>
          <t>Konten</t>
        </is>
      </c>
      <c r="F10" s="39" t="inlineStr">
        <is>
          <t>Kritis</t>
        </is>
      </c>
      <c r="G10" s="39" t="inlineStr">
        <is>
          <t>Ya</t>
        </is>
      </c>
      <c r="H10" s="39" t="inlineStr">
        <is>
          <t>Riwayat percakapan penuh dengan pesan uji coba developer</t>
        </is>
      </c>
      <c r="I10" s="39" t="inlineStr">
        <is>
          <t>Endpoint conversations mengembalikan sekitar 190 percakapan tersimpan, termasuk 'test', 'asdsad', 'hello world', 'Test test test', 'selamat pagi', 'does all the right tools work?', 'gimme data', dan 'show me the cahrt'.</t>
        </is>
      </c>
      <c r="J10" s="39" t="inlineStr">
        <is>
          <t>Riwayat yang sudah dikurasi, hanya berisi pertanyaan CFO yang kredibel, atau panel riwayat disembunyikan saat event.</t>
        </is>
      </c>
      <c r="K10" s="39" t="inlineStr">
        <is>
          <t>Tidak ada pemisahan antara environment development dan environment demo.</t>
        </is>
      </c>
      <c r="L10" s="39" t="inlineStr">
        <is>
          <t>Pemilik demo</t>
        </is>
      </c>
      <c r="M10" s="39" t="inlineStr">
        <is>
          <t>2026-07-31</t>
        </is>
      </c>
      <c r="N10" s="28" t="inlineStr">
        <is>
          <t>Terbuka</t>
        </is>
      </c>
      <c r="O10" s="28" t="n"/>
      <c r="P10" s="28" t="n"/>
      <c r="Q10" s="28" t="n"/>
    </row>
    <row r="11" ht="26" customHeight="1">
      <c r="A11" s="39" t="inlineStr">
        <is>
          <t>QC-007</t>
        </is>
      </c>
      <c r="B11" s="39" t="inlineStr">
        <is>
          <t>2026-07-28</t>
        </is>
      </c>
      <c r="C11" s="39" t="inlineStr">
        <is>
          <t>Collection</t>
        </is>
      </c>
      <c r="D11" s="39" t="inlineStr">
        <is>
          <t>a. Kesesuaian formula</t>
        </is>
      </c>
      <c r="E11" s="39" t="inlineStr">
        <is>
          <t>Formula</t>
        </is>
      </c>
      <c r="F11" s="39" t="inlineStr">
        <is>
          <t>Tinggi</t>
        </is>
      </c>
      <c r="G11" s="39" t="inlineStr">
        <is>
          <t>Ya</t>
        </is>
      </c>
      <c r="H11" s="39" t="inlineStr">
        <is>
          <t>KPI high-risk dan grafik risk tier tidak sama di layar yang sama</t>
        </is>
      </c>
      <c r="I11" s="39" t="inlineStr">
        <is>
          <t>KPI 'High-risk exposure' = 2.500 mn dengan label 'provision / high tier'. Grafik 'Risk exposure by tier' menampilkan High = 5.000 mn.</t>
        </is>
      </c>
      <c r="J11" s="39" t="inlineStr">
        <is>
          <t>Ganti nama KPI menjadi 'High-risk provision', atau tampilkan 5.000 agar sama dengan grafik.</t>
        </is>
      </c>
      <c r="K11" s="39" t="inlineStr">
        <is>
          <t>KPI membaca field pencadangan, grafik membaca field eksposur. Satu label, dua arti.</t>
        </is>
      </c>
      <c r="L11" s="39" t="inlineStr">
        <is>
          <t>Backend / logika agent</t>
        </is>
      </c>
      <c r="M11" s="39" t="inlineStr">
        <is>
          <t>2026-08-04</t>
        </is>
      </c>
      <c r="N11" s="72" t="inlineStr">
        <is>
          <t>Sudah diperbaiki - menunggu uji ulang</t>
        </is>
      </c>
      <c r="O11" s="28" t="n"/>
      <c r="P11" s="28" t="n"/>
      <c r="Q11" s="28" t="inlineStr">
        <is>
          <t>Fixed 30 Jul 2026 (commit 53daa2c). The card showed high_risk_provision (2,500) under a label reading 'exposure'. It now shows the High tier exposure (5,000), which equals the chart bar, with the provision moved to the caption.</t>
        </is>
      </c>
    </row>
    <row r="12" ht="39" customHeight="1">
      <c r="A12" s="39" t="inlineStr">
        <is>
          <t>QC-008</t>
        </is>
      </c>
      <c r="B12" s="39" t="inlineStr">
        <is>
          <t>2026-07-28</t>
        </is>
      </c>
      <c r="C12" s="39" t="inlineStr">
        <is>
          <t>Collection</t>
        </is>
      </c>
      <c r="D12" s="39" t="inlineStr">
        <is>
          <t>a. Kesesuaian formula</t>
        </is>
      </c>
      <c r="E12" s="39" t="inlineStr">
        <is>
          <t>Definisi</t>
        </is>
      </c>
      <c r="F12" s="39" t="inlineStr">
        <is>
          <t>Tinggi</t>
        </is>
      </c>
      <c r="G12" s="39" t="inlineStr">
        <is>
          <t>Ya</t>
        </is>
      </c>
      <c r="H12" s="39" t="inlineStr">
        <is>
          <t>Definisi 'Top 5' berbeda tiga kali di dalam satu agent</t>
        </is>
      </c>
      <c r="I12" s="39" t="inlineStr">
        <is>
          <t>Grafik options 'Top 5 - 46d' memakai baris 1-5 worklist (recovery 21.300 mn). Alert 'DSO gap and overdue concentration' memakai top 5 berdasarkan nilai overdue (27.000 mn, 71,17%). Alert 'Mid-tier accounts' memakai top 5 berdasarkan expected recovery (23.225 mn).</t>
        </is>
      </c>
      <c r="J12" s="39" t="inlineStr">
        <is>
          <t>Satu definisi saja, dan ditulis di layar.</t>
        </is>
      </c>
      <c r="K12" s="39" t="inlineStr">
        <is>
          <t>Setiap tampilan menghitung ranking-nya sendiri.</t>
        </is>
      </c>
      <c r="L12" s="39" t="inlineStr">
        <is>
          <t>Backend / logika agent</t>
        </is>
      </c>
      <c r="M12" s="39" t="inlineStr">
        <is>
          <t>2026-08-04</t>
        </is>
      </c>
      <c r="N12" s="28" t="inlineStr">
        <is>
          <t>Terbuka</t>
        </is>
      </c>
      <c r="O12" s="28" t="n"/>
      <c r="P12" s="28" t="n"/>
      <c r="Q12" s="28" t="n"/>
    </row>
    <row r="13" ht="39" customHeight="1">
      <c r="A13" s="39" t="inlineStr">
        <is>
          <t>QC-009</t>
        </is>
      </c>
      <c r="B13" s="39" t="inlineStr">
        <is>
          <t>2026-07-28</t>
        </is>
      </c>
      <c r="C13" s="39" t="inlineStr">
        <is>
          <t>Finance</t>
        </is>
      </c>
      <c r="D13" s="39" t="inlineStr">
        <is>
          <t>a. Kesesuaian formula</t>
        </is>
      </c>
      <c r="E13" s="39" t="inlineStr">
        <is>
          <t>Formula</t>
        </is>
      </c>
      <c r="F13" s="39" t="inlineStr">
        <is>
          <t>Tinggi</t>
        </is>
      </c>
      <c r="G13" s="39" t="inlineStr">
        <is>
          <t>Ya</t>
        </is>
      </c>
      <c r="H13" s="39" t="inlineStr">
        <is>
          <t>Ada dua target margin EBITDA yang dipakai bersamaan</t>
        </is>
      </c>
      <c r="I13" s="39" t="inlineStr">
        <is>
          <t>KPI tile dan gauge simulator sama-sama menulis 'target 15%'. Alert 'Price recovery opportunity' menyebut margin anggaran 15,7% (EBITDA anggaran 7.200 / pendapatan anggaran 46.000 = 15,65%).</t>
        </is>
      </c>
      <c r="J13" s="39" t="inlineStr">
        <is>
          <t>Satu target saja. Kalau acuannya anggaran, pakai 15,7% di semua tempat.</t>
        </is>
      </c>
      <c r="K13" s="39" t="inlineStr">
        <is>
          <t>Target gauge di-hardcode ke angka bulat 15%, sedangkan alert menghitung dari anggaran.</t>
        </is>
      </c>
      <c r="L13" s="39" t="inlineStr">
        <is>
          <t>Backend / logika agent</t>
        </is>
      </c>
      <c r="M13" s="39" t="inlineStr">
        <is>
          <t>2026-08-04</t>
        </is>
      </c>
      <c r="N13" s="72" t="inlineStr">
        <is>
          <t>Sudah diperbaiki - menunggu uji ulang</t>
        </is>
      </c>
      <c r="O13" s="28" t="n"/>
      <c r="P13" s="28" t="n"/>
      <c r="Q13" s="28" t="inlineStr">
        <is>
          <t>Fixed 30 Jul 2026 (commit f448e66). The target now comes from the budget row (7,200 / 46,000 = 15.65%) and is threaded through the card caption, gauge label, simulator baseline and the recalculate endpoint. NOTE: formula check #18 expects 9.2/15 = 0.6133; with one target it becomes 9.2/15.65 = 0.586, so that check needs updating.</t>
        </is>
      </c>
    </row>
    <row r="14" ht="39" customHeight="1">
      <c r="A14" s="39" t="inlineStr">
        <is>
          <t>QC-010</t>
        </is>
      </c>
      <c r="B14" s="39" t="inlineStr">
        <is>
          <t>2026-07-28</t>
        </is>
      </c>
      <c r="C14" s="39" t="inlineStr">
        <is>
          <t>Finance</t>
        </is>
      </c>
      <c r="D14" s="39" t="inlineStr">
        <is>
          <t>a. Kesesuaian formula</t>
        </is>
      </c>
      <c r="E14" s="39" t="inlineStr">
        <is>
          <t>Formula</t>
        </is>
      </c>
      <c r="F14" s="39" t="inlineStr">
        <is>
          <t>Tinggi</t>
        </is>
      </c>
      <c r="G14" s="39" t="inlineStr">
        <is>
          <t>Ya</t>
        </is>
      </c>
      <c r="H14" s="39" t="inlineStr">
        <is>
          <t>Varians harga sekitar sepuluh kali lebih kecil dari penurunan harga yang diklaim</t>
        </is>
      </c>
      <c r="I14" s="39" t="inlineStr">
        <is>
          <t>Alert menyebut harga blended turun 7,6%, dari IDR 127,7k menjadi IDR 118,0k per unit. Waterfall EBITDA hanya menampilkan langkah harga -390 mn atas pendapatan 46.510 mn. Penurunan harga 7,6% seharusnya berdampak sekitar -3.800 mn.</t>
        </is>
      </c>
      <c r="J14" s="39" t="inlineStr">
        <is>
          <t>Langkah harga di waterfall dan persentase penurunan di alert harus berasal dari perhitungan yang sama.</t>
        </is>
      </c>
      <c r="K14" s="39" t="inlineStr">
        <is>
          <t>Langkah waterfall dan narasi alert dihasilkan dari sumber berbeda. Perlu diverifikasi ke model dasarnya.</t>
        </is>
      </c>
      <c r="L14" s="39" t="inlineStr">
        <is>
          <t>Backend / logika agent</t>
        </is>
      </c>
      <c r="M14" s="39" t="inlineStr">
        <is>
          <t>2026-08-04</t>
        </is>
      </c>
      <c r="N14" s="28" t="inlineStr">
        <is>
          <t>Terbuka</t>
        </is>
      </c>
      <c r="O14" s="28" t="n"/>
      <c r="P14" s="28" t="n"/>
      <c r="Q14" s="28" t="n"/>
    </row>
    <row r="15" ht="39" customHeight="1">
      <c r="A15" s="39" t="inlineStr">
        <is>
          <t>QC-011</t>
        </is>
      </c>
      <c r="B15" s="39" t="inlineStr">
        <is>
          <t>2026-07-28</t>
        </is>
      </c>
      <c r="C15" s="39" t="inlineStr">
        <is>
          <t>Finance</t>
        </is>
      </c>
      <c r="D15" s="39" t="inlineStr">
        <is>
          <t>a. Kesesuaian formula</t>
        </is>
      </c>
      <c r="E15" s="39" t="inlineStr">
        <is>
          <t>Formula</t>
        </is>
      </c>
      <c r="F15" s="39" t="inlineStr">
        <is>
          <t>Tinggi</t>
        </is>
      </c>
      <c r="G15" s="39" t="inlineStr">
        <is>
          <t>Ya</t>
        </is>
      </c>
      <c r="H15" s="39" t="inlineStr">
        <is>
          <t>Varians COGS disebut dengan dua angka berbeda</t>
        </is>
      </c>
      <c r="I15" s="39" t="inlineStr">
        <is>
          <t>Alert dan action memakai COGS overrun IDR 2.930 mn. Waterfall EBITDA menampilkan langkah Cost dan FX sebesar -1.880 mn.</t>
        </is>
      </c>
      <c r="J15" s="39" t="inlineStr">
        <is>
          <t>Satu angka varians biaya di seluruh waterfall, alert, dan action card.</t>
        </is>
      </c>
      <c r="K15" s="39" t="inlineStr">
        <is>
          <t>Waterfall mungkin sudah menetkan FX ke dalam biaya, sedangkan alert melaporkan biaya bruto. Keduanya belum direkonsiliasi.</t>
        </is>
      </c>
      <c r="L15" s="39" t="inlineStr">
        <is>
          <t>Backend / logika agent</t>
        </is>
      </c>
      <c r="M15" s="39" t="inlineStr">
        <is>
          <t>2026-08-04</t>
        </is>
      </c>
      <c r="N15" s="28" t="inlineStr">
        <is>
          <t>Terbuka</t>
        </is>
      </c>
      <c r="O15" s="28" t="n"/>
      <c r="P15" s="28" t="n"/>
      <c r="Q15" s="28" t="n"/>
    </row>
    <row r="16" ht="26" customHeight="1">
      <c r="A16" s="39" t="inlineStr">
        <is>
          <t>QC-012</t>
        </is>
      </c>
      <c r="B16" s="39" t="inlineStr">
        <is>
          <t>2026-07-28</t>
        </is>
      </c>
      <c r="C16" s="39" t="inlineStr">
        <is>
          <t>Finance</t>
        </is>
      </c>
      <c r="D16" s="39" t="inlineStr">
        <is>
          <t>d. Prompt dan respons</t>
        </is>
      </c>
      <c r="E16" s="39" t="inlineStr">
        <is>
          <t>Konten</t>
        </is>
      </c>
      <c r="F16" s="39" t="inlineStr">
        <is>
          <t>Tinggi</t>
        </is>
      </c>
      <c r="G16" s="39" t="inlineStr">
        <is>
          <t>Tidak</t>
        </is>
      </c>
      <c r="H16" s="39" t="inlineStr">
        <is>
          <t>Dua angka yang hampir sama artinya berbeda</t>
        </is>
      </c>
      <c r="I16" s="39" t="inlineStr">
        <is>
          <t>Langkah Cost dan FX = -1.880 mn. Mix ditambah price = -1.491 + -390 = -1.881 mn, dan sebuah alert melaporkan 'IDR 1.881mn combined profitability loss'.</t>
        </is>
      </c>
      <c r="J16" s="39" t="inlineStr">
        <is>
          <t>Pisahkan keduanya di layar, atau bulatkan berbeda supaya tidak tertukar saat presentasi.</t>
        </is>
      </c>
      <c r="K16" s="39" t="inlineStr">
        <is>
          <t>Kebetulan pada data seed, tetapi berpotensi membingungkan di atas panggung.</t>
        </is>
      </c>
      <c r="L16" s="39" t="inlineStr">
        <is>
          <t>Pemilik demo</t>
        </is>
      </c>
      <c r="M16" s="39" t="inlineStr">
        <is>
          <t>2026-08-04</t>
        </is>
      </c>
      <c r="N16" s="28" t="inlineStr">
        <is>
          <t>Terbuka</t>
        </is>
      </c>
      <c r="O16" s="28" t="n"/>
      <c r="P16" s="28" t="n"/>
      <c r="Q16" s="28" t="n"/>
    </row>
    <row r="17" ht="104" customHeight="1">
      <c r="A17" s="39" t="inlineStr">
        <is>
          <t>QC-013</t>
        </is>
      </c>
      <c r="B17" s="39" t="inlineStr">
        <is>
          <t>2026-07-28</t>
        </is>
      </c>
      <c r="C17" s="39" t="inlineStr">
        <is>
          <t>Leakage</t>
        </is>
      </c>
      <c r="D17" s="39" t="inlineStr">
        <is>
          <t>a. Kesesuaian formula</t>
        </is>
      </c>
      <c r="E17" s="39" t="inlineStr">
        <is>
          <t>Formula</t>
        </is>
      </c>
      <c r="F17" s="39" t="inlineStr">
        <is>
          <t>Sedang</t>
        </is>
      </c>
      <c r="G17" s="39" t="inlineStr">
        <is>
          <t>Tidak</t>
        </is>
      </c>
      <c r="H17" s="39" t="inlineStr">
        <is>
          <t>Batang berlabel 'Current 95%' tidak menunjukkan posisi saat ini</t>
        </is>
      </c>
      <c r="I17" s="39" t="inlineStr">
        <is>
          <t>Pada grafik 'Recovery scenario' di agent Leakage, batang ketiga berlabel 'Current 95%' bernilai 7.577,5. Batang itu menerapkan 95% ke duplikat dan overbilling sekaligus. Posisi sebenarnya menerapkan 95% ke duplikat dan 90% ke overbilling, hasilnya 7.557,5. Angka itulah yang dipakai KPI 'Total protected' (7.558) dan grafik samping 'Protected vs at risk' (7.557,5). Selisihnya = 400 x 5% = 20 juta. PENTING: selisih ini tidak terlihat mata. KPI dan grafik samping justru sudah cocok satu sama lain, jadi kalau dilihat sekilas memang terasa benar. Yang berbeda hanya grafik recovery, dan 20 dari 7.578 hanya 0,26%. Baru kelihatan lewat tooltip, label angka pada batang, atau kalau ada yang menanyakan angkanya ke agent.</t>
        </is>
      </c>
      <c r="J17" s="39" t="inlineStr">
        <is>
          <t>Batang 'Current' memakai set asumsi yang sama dengan KPI, sehingga bernilai 7.557,5. Alternatif lain, ganti namanya menjadi '95% untuk semua' supaya tidak lagi mengaku sebagai posisi saat ini.</t>
        </is>
      </c>
      <c r="K17" s="39" t="inlineStr">
        <is>
          <t>Grafik recovery meng-hardcode satu tarif claw-back untuk semua item yang bisa ditarik. Baseline simulator memakai dua tarif berbeda. Keduanya tidak salah secara terpisah. Yang membuat grafiknya keliru adalah label 'Current'.</t>
        </is>
      </c>
      <c r="L17" s="39" t="inlineStr">
        <is>
          <t>Backend / logika agent</t>
        </is>
      </c>
      <c r="M17" s="39" t="inlineStr">
        <is>
          <t>2026-08-11</t>
        </is>
      </c>
      <c r="N17" s="72" t="inlineStr">
        <is>
          <t>Sudah diperbaiki - menunggu uji ulang</t>
        </is>
      </c>
      <c r="O17" s="28" t="n"/>
      <c r="P17" s="28" t="n"/>
      <c r="Q17" s="28" t="inlineStr">
        <is>
          <t>Severity diturunkan dari Tinggi ke Sedang pada 28 Juli 2026 setelah diperiksa ulang bersama Susan. Alasan: selisihnya tidak terlihat mata dan bukan penghambat demo. Cacatnya tetap nyata dan tetap perlu diperbaiki. | Fixed 30 Jul 2026 (commit 53daa2c). The bar is now labelled 'Current 95/90%' and reuses the Total protected card value (7,557.5) instead of recomputing it at 95/95 (7,577.5).</t>
        </is>
      </c>
    </row>
    <row r="18" ht="39" customHeight="1">
      <c r="A18" s="39" t="inlineStr">
        <is>
          <t>QC-014</t>
        </is>
      </c>
      <c r="B18" s="39" t="inlineStr">
        <is>
          <t>2026-07-28</t>
        </is>
      </c>
      <c r="C18" s="39" t="inlineStr">
        <is>
          <t>Leakage</t>
        </is>
      </c>
      <c r="D18" s="39" t="inlineStr">
        <is>
          <t>a. Kesesuaian formula</t>
        </is>
      </c>
      <c r="E18" s="39" t="inlineStr">
        <is>
          <t>Formula</t>
        </is>
      </c>
      <c r="F18" s="39" t="inlineStr">
        <is>
          <t>Tinggi</t>
        </is>
      </c>
      <c r="G18" s="39" t="inlineStr">
        <is>
          <t>Ya</t>
        </is>
      </c>
      <c r="H18" s="39" t="inlineStr">
        <is>
          <t>Jumlah flag di KPI tidak cocok dengan tabelnya</t>
        </is>
      </c>
      <c r="I18" s="39" t="inlineStr">
        <is>
          <t>KPI 'Flagged this cycle' menulis '22 flags'. Worklist hanya berisi 10 baris dan vendor radar berjumlah 10 flag pada 8 vendor.</t>
        </is>
      </c>
      <c r="J18" s="39" t="inlineStr">
        <is>
          <t>Angka pada KPI harus sama dengan jumlah baris yang benar-benar bisa dibuka pengguna.</t>
        </is>
      </c>
      <c r="K18" s="39" t="inlineStr">
        <is>
          <t>KPI menghitung exception mentah, sedangkan tabel menampilkan top-N tanpa keterangan 'menampilkan 10 dari 22'.</t>
        </is>
      </c>
      <c r="L18" s="39" t="inlineStr">
        <is>
          <t>Backend / logika agent</t>
        </is>
      </c>
      <c r="M18" s="39" t="inlineStr">
        <is>
          <t>2026-08-04</t>
        </is>
      </c>
      <c r="N18" s="72" t="inlineStr">
        <is>
          <t>Sudah diperbaiki - menunggu uji ulang</t>
        </is>
      </c>
      <c r="O18" s="28" t="n"/>
      <c r="P18" s="28" t="n"/>
      <c r="Q18" s="28" t="inlineStr">
        <is>
          <t>Fixed 30 Jul 2026 (commit 53daa2c). The KPI now reads summary.items_flagged (10). The 22 came from len(anomalies), which is LIMIT 30 and includes rows that are not flagged.</t>
        </is>
      </c>
    </row>
    <row r="19" ht="39" customHeight="1">
      <c r="A19" s="39" t="inlineStr">
        <is>
          <t>QC-015</t>
        </is>
      </c>
      <c r="B19" s="39" t="inlineStr">
        <is>
          <t>2026-07-28</t>
        </is>
      </c>
      <c r="C19" s="39" t="inlineStr">
        <is>
          <t>Leakage</t>
        </is>
      </c>
      <c r="D19" s="39" t="inlineStr">
        <is>
          <t>a. Kesesuaian formula</t>
        </is>
      </c>
      <c r="E19" s="39" t="inlineStr">
        <is>
          <t>Formula</t>
        </is>
      </c>
      <c r="F19" s="39" t="inlineStr">
        <is>
          <t>Tinggi</t>
        </is>
      </c>
      <c r="G19" s="39" t="inlineStr">
        <is>
          <t>Ya</t>
        </is>
      </c>
      <c r="H19" s="39" t="inlineStr">
        <is>
          <t>Eksposur split invoice muncul di grafik tetapi di luar total</t>
        </is>
      </c>
      <c r="I19" s="39" t="inlineStr">
        <is>
          <t>At risk = 7.845 = fraud 3.800 + duplikat 3.050 + overbilling 400 + other blocked 500 + lost 95. Alert 'Split invoice threshold evasion' melaporkan IDR 1.950 mn, dan 'Split / threshold' adalah salah satu dari lima kategori grafik, tetapi 1.950 tidak masuk ke 7.845.</t>
        </is>
      </c>
      <c r="J19" s="39" t="inlineStr">
        <is>
          <t>Pilih: at risk menjadi 9.795, atau split invoice dikeluarkan dari grafik dan dijelaskan.</t>
        </is>
      </c>
      <c r="K19" s="39" t="inlineStr">
        <is>
          <t>Agregat at-risk dibuat sebelum deteksi split-threshold ditambahkan.</t>
        </is>
      </c>
      <c r="L19" s="39" t="inlineStr">
        <is>
          <t>Backend / logika agent</t>
        </is>
      </c>
      <c r="M19" s="39" t="inlineStr">
        <is>
          <t>2026-08-04</t>
        </is>
      </c>
      <c r="N19" s="73" t="inlineStr">
        <is>
          <t>Sedang dikerjakan</t>
        </is>
      </c>
      <c r="O19" s="28" t="n"/>
      <c r="P19" s="28" t="n"/>
      <c r="Q19" s="28" t="inlineStr">
        <is>
          <t>Partly fixed 30 Jul 2026 (commit 53daa2c). The dashboard no longer contradicts itself: rows with is_direct_loss = false are out of the category bar and mix donut, so both sum to 7,845, and the 1,950 is named in the chart note. The alert wording has NOT been checked yet.</t>
        </is>
      </c>
    </row>
    <row r="20" ht="39" customHeight="1">
      <c r="A20" s="39" t="inlineStr">
        <is>
          <t>QC-016</t>
        </is>
      </c>
      <c r="B20" s="39" t="inlineStr">
        <is>
          <t>2026-07-28</t>
        </is>
      </c>
      <c r="C20" s="39" t="inlineStr">
        <is>
          <t>Collection</t>
        </is>
      </c>
      <c r="D20" s="39" t="inlineStr">
        <is>
          <t>a. Kesesuaian formula</t>
        </is>
      </c>
      <c r="E20" s="39" t="inlineStr">
        <is>
          <t>Formula</t>
        </is>
      </c>
      <c r="F20" s="39" t="inlineStr">
        <is>
          <t>Tinggi</t>
        </is>
      </c>
      <c r="G20" s="39" t="inlineStr">
        <is>
          <t>Ya</t>
        </is>
      </c>
      <c r="H20" s="39" t="inlineStr">
        <is>
          <t>Dampak aksi tidak cocok dengan rekomendasinya sendiri</t>
        </is>
      </c>
      <c r="I20" s="39" t="inlineStr">
        <is>
          <t>Aksi 'Accelerate top overdue collections' menyebut penagihan minimal IDR 20.000 mn. Dampaknya tertulis 'DSO: 57.36 -5.21 -&gt; 52.14'. Angka -5,21 hari setara 10.000 mn (10.000 / 1.917,8). Untuk 20.000 mn seharusnya -10,43 hari.</t>
        </is>
      </c>
      <c r="J20" s="39" t="inlineStr">
        <is>
          <t>Dampak dihitung ulang dari nilai yang ada di spec.</t>
        </is>
      </c>
      <c r="K20" s="39" t="inlineStr">
        <is>
          <t>Teks dampak tersalin dari aksi lain.</t>
        </is>
      </c>
      <c r="L20" s="39" t="inlineStr">
        <is>
          <t>Backend / logika agent</t>
        </is>
      </c>
      <c r="M20" s="39" t="inlineStr">
        <is>
          <t>2026-08-04</t>
        </is>
      </c>
      <c r="N20" s="28" t="inlineStr">
        <is>
          <t>Terbuka</t>
        </is>
      </c>
      <c r="O20" s="28" t="n"/>
      <c r="P20" s="28" t="n"/>
      <c r="Q20" s="28" t="n"/>
    </row>
    <row r="21" ht="26" customHeight="1">
      <c r="A21" s="39" t="inlineStr">
        <is>
          <t>QC-017</t>
        </is>
      </c>
      <c r="B21" s="39" t="inlineStr">
        <is>
          <t>2026-07-28</t>
        </is>
      </c>
      <c r="C21" s="39" t="inlineStr">
        <is>
          <t>Treasury</t>
        </is>
      </c>
      <c r="D21" s="39" t="inlineStr">
        <is>
          <t>a. Kesesuaian formula</t>
        </is>
      </c>
      <c r="E21" s="39" t="inlineStr">
        <is>
          <t>Formula</t>
        </is>
      </c>
      <c r="F21" s="39" t="inlineStr">
        <is>
          <t>Tinggi</t>
        </is>
      </c>
      <c r="G21" s="39" t="inlineStr">
        <is>
          <t>Ya</t>
        </is>
      </c>
      <c r="H21" s="39" t="inlineStr">
        <is>
          <t>Aksi gabungan hanya menampilkan sebagian dampaknya sendiri</t>
        </is>
      </c>
      <c r="I21" s="39" t="inlineStr">
        <is>
          <t>Aksi 'Bridge Week 5 funding gap' menyebut percepatan 2.000 mn ditambah penundaan 3.000 mn, total 5.000 mn. Dampaknya tertulis 'headroom: -1002.5 -&gt; +1997.5', hanya bergerak 3.000 mn.</t>
        </is>
      </c>
      <c r="J21" s="39" t="inlineStr">
        <is>
          <t>-1.002,5 -&gt; +3.997,5.</t>
        </is>
      </c>
      <c r="K21" s="39" t="inlineStr">
        <is>
          <t>Hanya kaki penundaan yang dihitung.</t>
        </is>
      </c>
      <c r="L21" s="39" t="inlineStr">
        <is>
          <t>Backend / logika agent</t>
        </is>
      </c>
      <c r="M21" s="39" t="inlineStr">
        <is>
          <t>2026-08-04</t>
        </is>
      </c>
      <c r="N21" s="28" t="inlineStr">
        <is>
          <t>Terbuka</t>
        </is>
      </c>
      <c r="O21" s="28" t="n"/>
      <c r="P21" s="28" t="n"/>
      <c r="Q21" s="28" t="n"/>
    </row>
    <row r="22" ht="39" customHeight="1">
      <c r="A22" s="39" t="inlineStr">
        <is>
          <t>QC-018</t>
        </is>
      </c>
      <c r="B22" s="39" t="inlineStr">
        <is>
          <t>2026-07-28</t>
        </is>
      </c>
      <c r="C22" s="39" t="inlineStr">
        <is>
          <t>Collection</t>
        </is>
      </c>
      <c r="D22" s="39" t="inlineStr">
        <is>
          <t>a. Kesesuaian formula</t>
        </is>
      </c>
      <c r="E22" s="39" t="inlineStr">
        <is>
          <t>Penamaan</t>
        </is>
      </c>
      <c r="F22" s="39" t="inlineStr">
        <is>
          <t>Tinggi</t>
        </is>
      </c>
      <c r="G22" s="39" t="inlineStr">
        <is>
          <t>Tidak</t>
        </is>
      </c>
      <c r="H22" s="39" t="inlineStr">
        <is>
          <t>Aksi memberi label konsentrasi top-2 sebagai porsi overdue keseluruhan</t>
        </is>
      </c>
      <c r="I22" s="39" t="inlineStr">
        <is>
          <t>Aksi 'Escalate concentrated exposures' menampilkan 'Overdue share: 43.5% -10% -&gt; 33.5%'. Porsi overdue di dashboard adalah 34,5% (37.935 / 110.000). Angka 43,5% adalah porsi dua pelanggan terbesar terhadap overdue (16.500 / 37.935).</t>
        </is>
      </c>
      <c r="J22" s="39" t="inlineStr">
        <is>
          <t>Beri label 'Porsi top-2 terhadap overdue'.</t>
        </is>
      </c>
      <c r="K22" s="39" t="inlineStr">
        <is>
          <t>Nama metrik dipakai ulang untuk penyebut yang berbeda.</t>
        </is>
      </c>
      <c r="L22" s="39" t="inlineStr">
        <is>
          <t>Backend / logika agent</t>
        </is>
      </c>
      <c r="M22" s="39" t="inlineStr">
        <is>
          <t>2026-08-04</t>
        </is>
      </c>
      <c r="N22" s="28" t="inlineStr">
        <is>
          <t>Terbuka</t>
        </is>
      </c>
      <c r="O22" s="28" t="n"/>
      <c r="P22" s="28" t="n"/>
      <c r="Q22" s="28" t="n"/>
    </row>
    <row r="23" ht="39" customHeight="1">
      <c r="A23" s="39" t="inlineStr">
        <is>
          <t>QC-019</t>
        </is>
      </c>
      <c r="B23" s="39" t="inlineStr">
        <is>
          <t>2026-07-28</t>
        </is>
      </c>
      <c r="C23" s="39" t="inlineStr">
        <is>
          <t>Treasury</t>
        </is>
      </c>
      <c r="D23" s="39" t="inlineStr">
        <is>
          <t>a. Kesesuaian formula</t>
        </is>
      </c>
      <c r="E23" s="39" t="inlineStr">
        <is>
          <t>Formula</t>
        </is>
      </c>
      <c r="F23" s="39" t="inlineStr">
        <is>
          <t>Tinggi</t>
        </is>
      </c>
      <c r="G23" s="39" t="inlineStr">
        <is>
          <t>Ya</t>
        </is>
      </c>
      <c r="H23" s="39" t="inlineStr">
        <is>
          <t>Aksi credit line berpatokan pada minggu yang salah</t>
        </is>
      </c>
      <c r="I23" s="39" t="inlineStr">
        <is>
          <t>Aksi 'Pre-arrange contingent credit capacity' memakai baseline 1.012,5, yaitu headroom Minggu 6. Pelanggaran buffer terjadi di Minggu 5 pada -1.002,5. Spec-nya lalu menargetkan buffer di atas 4.000 mn.</t>
        </is>
      </c>
      <c r="J23" s="39" t="inlineStr">
        <is>
          <t>Baseline -1.002,5 (Minggu 5), hasil +1.997,5 setelah penarikan 3.000 mn.</t>
        </is>
      </c>
      <c r="K23" s="39" t="inlineStr">
        <is>
          <t>Minggu yang dipilih sebagai baseline salah.</t>
        </is>
      </c>
      <c r="L23" s="39" t="inlineStr">
        <is>
          <t>Backend / logika agent</t>
        </is>
      </c>
      <c r="M23" s="39" t="inlineStr">
        <is>
          <t>2026-08-04</t>
        </is>
      </c>
      <c r="N23" s="28" t="inlineStr">
        <is>
          <t>Terbuka</t>
        </is>
      </c>
      <c r="O23" s="28" t="n"/>
      <c r="P23" s="28" t="n"/>
      <c r="Q23" s="28" t="n"/>
    </row>
    <row r="24" ht="39" customHeight="1">
      <c r="A24" s="39" t="inlineStr">
        <is>
          <t>QC-020</t>
        </is>
      </c>
      <c r="B24" s="39" t="inlineStr">
        <is>
          <t>2026-07-28</t>
        </is>
      </c>
      <c r="C24" s="39" t="inlineStr">
        <is>
          <t>Semua agent</t>
        </is>
      </c>
      <c r="D24" s="39" t="inlineStr">
        <is>
          <t>c. Tombol / menu / fungsi</t>
        </is>
      </c>
      <c r="E24" s="39" t="inlineStr">
        <is>
          <t>Integrasi</t>
        </is>
      </c>
      <c r="F24" s="39" t="inlineStr">
        <is>
          <t>Tinggi</t>
        </is>
      </c>
      <c r="G24" s="39" t="inlineStr">
        <is>
          <t>Ya</t>
        </is>
      </c>
      <c r="H24" s="39" t="inlineStr">
        <is>
          <t>Kunci nama agent tidak konsisten antar endpoint</t>
        </is>
      </c>
      <c r="I24" s="39" t="inlineStr">
        <is>
          <t>Endpoint agents mengembalikan finance.collection dan finance.treasury. Payload dashboard mengembalikan agent 'collections' dan 'treasury'. Endpoint actions dan alerts memakai 'collection' dan 'cashflow'.</t>
        </is>
      </c>
      <c r="J24" s="39" t="inlineStr">
        <is>
          <t>Satu kunci kanonik per agent di semua endpoint.</t>
        </is>
      </c>
      <c r="K24" s="39" t="inlineStr">
        <is>
          <t>Penamaan bergeser antara agent registry, dashboard service, dan alert/action service. Join berdasarkan nama agent akan mengembalikan daftar kosong untuk Treasury.</t>
        </is>
      </c>
      <c r="L24" s="39" t="inlineStr">
        <is>
          <t>Backend</t>
        </is>
      </c>
      <c r="M24" s="39" t="inlineStr">
        <is>
          <t>2026-08-04</t>
        </is>
      </c>
      <c r="N24" s="28" t="inlineStr">
        <is>
          <t>Terbuka</t>
        </is>
      </c>
      <c r="O24" s="28" t="n"/>
      <c r="P24" s="28" t="n"/>
      <c r="Q24" s="28" t="n"/>
    </row>
    <row r="25" ht="39" customHeight="1">
      <c r="A25" s="39" t="inlineStr">
        <is>
          <t>QC-021</t>
        </is>
      </c>
      <c r="B25" s="39" t="inlineStr">
        <is>
          <t>2026-07-28</t>
        </is>
      </c>
      <c r="C25" s="39" t="inlineStr">
        <is>
          <t>Semua agent</t>
        </is>
      </c>
      <c r="D25" s="39" t="inlineStr">
        <is>
          <t>d. Prompt dan respons</t>
        </is>
      </c>
      <c r="E25" s="39" t="inlineStr">
        <is>
          <t>Konten</t>
        </is>
      </c>
      <c r="F25" s="39" t="inlineStr">
        <is>
          <t>Tinggi</t>
        </is>
      </c>
      <c r="G25" s="39" t="inlineStr">
        <is>
          <t>Ya</t>
        </is>
      </c>
      <c r="H25" s="39" t="inlineStr">
        <is>
          <t>47 action card dengan duplikasi berat</t>
        </is>
      </c>
      <c r="I25" s="39" t="inlineStr">
        <is>
          <t>Finance memiliki minimal lima aksi hampir identik tentang rebalance mix ke SKU bermargin tinggi. Leakage memiliki tiga aksi hampir identik 'Launch duplicate payment recovery'. Collection memiliki empat aksi pada dua pelanggan yang sama.</t>
        </is>
      </c>
      <c r="J25" s="39" t="inlineStr">
        <is>
          <t>Rapikan menjadi sekitar tiga sampai lima aksi berbeda per agent untuk demo.</t>
        </is>
      </c>
      <c r="K25" s="39" t="inlineStr">
        <is>
          <t>Aksi dibuat per alert tanpa tahap clustering, dan alert-nya sendiri sudah duplikatif.</t>
        </is>
      </c>
      <c r="L25" s="39" t="inlineStr">
        <is>
          <t>Backend / logika agent</t>
        </is>
      </c>
      <c r="M25" s="39" t="inlineStr">
        <is>
          <t>2026-08-04</t>
        </is>
      </c>
      <c r="N25" s="28" t="inlineStr">
        <is>
          <t>Terbuka</t>
        </is>
      </c>
      <c r="O25" s="28" t="n"/>
      <c r="P25" s="28" t="n"/>
      <c r="Q25" s="28" t="n"/>
    </row>
    <row r="26" ht="39" customHeight="1">
      <c r="A26" s="39" t="inlineStr">
        <is>
          <t>QC-022</t>
        </is>
      </c>
      <c r="B26" s="39" t="inlineStr">
        <is>
          <t>2026-07-28</t>
        </is>
      </c>
      <c r="C26" s="39" t="inlineStr">
        <is>
          <t>Semua agent</t>
        </is>
      </c>
      <c r="D26" s="39" t="inlineStr">
        <is>
          <t>a. Kesesuaian formula</t>
        </is>
      </c>
      <c r="E26" s="39" t="inlineStr">
        <is>
          <t>Logika</t>
        </is>
      </c>
      <c r="F26" s="39" t="inlineStr">
        <is>
          <t>Tinggi</t>
        </is>
      </c>
      <c r="G26" s="39" t="inlineStr">
        <is>
          <t>Ya</t>
        </is>
      </c>
      <c r="H26" s="39" t="inlineStr">
        <is>
          <t>Dampak aksi bertumpuk tanpa pengaman double counting</t>
        </is>
      </c>
      <c r="I26" s="39" t="inlineStr">
        <is>
          <t>Menyetujui seluruh set Finance menambahkan +1.500, +1.000, +390, +300, dan dua pergerakan poin persentase pada basis EBITDA yang sama yaitu 4.300, padahal beberapa di antaranya menyasar driver yang sama.</t>
        </is>
      </c>
      <c r="J26" s="39" t="inlineStr">
        <is>
          <t>Tampilan portofolio yang menetkan aksi yang tumpang tindih dan menampilkan satu dampak gabungan.</t>
        </is>
      </c>
      <c r="K26" s="39" t="inlineStr">
        <is>
          <t>Setiap aksi dinilai terpisah terhadap baseline.</t>
        </is>
      </c>
      <c r="L26" s="39" t="inlineStr">
        <is>
          <t>Backend / logika agent</t>
        </is>
      </c>
      <c r="M26" s="39" t="inlineStr">
        <is>
          <t>2026-08-04</t>
        </is>
      </c>
      <c r="N26" s="28" t="inlineStr">
        <is>
          <t>Terbuka</t>
        </is>
      </c>
      <c r="O26" s="28" t="n"/>
      <c r="P26" s="28" t="n"/>
      <c r="Q26" s="28" t="n"/>
    </row>
    <row r="27" ht="26" customHeight="1">
      <c r="A27" s="39" t="inlineStr">
        <is>
          <t>QC-023</t>
        </is>
      </c>
      <c r="B27" s="39" t="inlineStr">
        <is>
          <t>2026-07-28</t>
        </is>
      </c>
      <c r="C27" s="39" t="inlineStr">
        <is>
          <t>Semua agent</t>
        </is>
      </c>
      <c r="D27" s="39" t="inlineStr">
        <is>
          <t>d. Prompt dan respons</t>
        </is>
      </c>
      <c r="E27" s="39" t="inlineStr">
        <is>
          <t>Konten</t>
        </is>
      </c>
      <c r="F27" s="39" t="inlineStr">
        <is>
          <t>Tinggi</t>
        </is>
      </c>
      <c r="G27" s="39" t="inlineStr">
        <is>
          <t>Tidak</t>
        </is>
      </c>
      <c r="H27" s="39" t="inlineStr">
        <is>
          <t>47 alert yang sebenarnya menceritakan sekitar delapan hal</t>
        </is>
      </c>
      <c r="I27" s="39" t="inlineStr">
        <is>
          <t>Finance memiliki 12 alert yang pada dasarnya semuanya membahas mix, harga, dan biaya. Cashflow memiliki 12 alert yang mengulang pelanggaran buffer Minggu 5.</t>
        </is>
      </c>
      <c r="J27" s="39" t="inlineStr">
        <is>
          <t>Kelompokkan menjadi satu alert per isu dasar, dengan peringkat severity.</t>
        </is>
      </c>
      <c r="K27" s="39" t="inlineStr">
        <is>
          <t>Tidak ada deduplikasi pada generator alert.</t>
        </is>
      </c>
      <c r="L27" s="39" t="inlineStr">
        <is>
          <t>Backend / logika agent</t>
        </is>
      </c>
      <c r="M27" s="39" t="inlineStr">
        <is>
          <t>2026-08-04</t>
        </is>
      </c>
      <c r="N27" s="28" t="inlineStr">
        <is>
          <t>Terbuka</t>
        </is>
      </c>
      <c r="O27" s="28" t="n"/>
      <c r="P27" s="28" t="n"/>
      <c r="Q27" s="28" t="n"/>
    </row>
    <row r="28" ht="26" customHeight="1">
      <c r="A28" s="39" t="inlineStr">
        <is>
          <t>QC-024</t>
        </is>
      </c>
      <c r="B28" s="39" t="inlineStr">
        <is>
          <t>2026-07-28</t>
        </is>
      </c>
      <c r="C28" s="39" t="inlineStr">
        <is>
          <t>Leakage</t>
        </is>
      </c>
      <c r="D28" s="39" t="inlineStr">
        <is>
          <t>b. Kesesuaian grafik</t>
        </is>
      </c>
      <c r="E28" s="39" t="inlineStr">
        <is>
          <t>Grafik</t>
        </is>
      </c>
      <c r="F28" s="39" t="inlineStr">
        <is>
          <t>Tinggi</t>
        </is>
      </c>
      <c r="G28" s="39" t="inlineStr">
        <is>
          <t>Ya</t>
        </is>
      </c>
      <c r="H28" s="39" t="inlineStr">
        <is>
          <t>Agent Leakage terbuka pada grafik kosong</t>
        </is>
      </c>
      <c r="I28" s="39" t="inlineStr">
        <is>
          <t>default_view adalah 'categories', yaitu grafik nol semua yang dijelaskan pada temuan pertama.</t>
        </is>
      </c>
      <c r="J28" s="39" t="inlineStr">
        <is>
          <t>Buka pada tampilan yang berisi data.</t>
        </is>
      </c>
      <c r="K28" s="39" t="inlineStr">
        <is>
          <t>Akar masalah sama dengan isu amount nol.</t>
        </is>
      </c>
      <c r="L28" s="39" t="inlineStr">
        <is>
          <t>Backend / data</t>
        </is>
      </c>
      <c r="M28" s="39" t="inlineStr">
        <is>
          <t>2026-08-04</t>
        </is>
      </c>
      <c r="N28" s="72" t="inlineStr">
        <is>
          <t>Sudah diperbaiki - menunggu uji ulang</t>
        </is>
      </c>
      <c r="O28" s="28" t="n"/>
      <c r="P28" s="28" t="n"/>
      <c r="Q28" s="28" t="inlineStr">
        <is>
          <t>Fixed 30 Jul 2026 (commit 53daa2c). Same root cause as QC-001; the default view 'categories' now renders four bars on open.</t>
        </is>
      </c>
    </row>
    <row r="29" ht="52" customHeight="1">
      <c r="A29" s="39" t="inlineStr">
        <is>
          <t>QC-025</t>
        </is>
      </c>
      <c r="B29" s="39" t="inlineStr">
        <is>
          <t>2026-07-28</t>
        </is>
      </c>
      <c r="C29" s="39" t="inlineStr">
        <is>
          <t>Treasury</t>
        </is>
      </c>
      <c r="D29" s="39" t="inlineStr">
        <is>
          <t>a. Kesesuaian formula</t>
        </is>
      </c>
      <c r="E29" s="39" t="inlineStr">
        <is>
          <t>Penamaan</t>
        </is>
      </c>
      <c r="F29" s="39" t="inlineStr">
        <is>
          <t>Tinggi</t>
        </is>
      </c>
      <c r="G29" s="39" t="inlineStr">
        <is>
          <t>Tidak</t>
        </is>
      </c>
      <c r="H29" s="39" t="inlineStr">
        <is>
          <t>Aksi FX menyatakan eksposur turun menjadi sebesar nilai hedge</t>
        </is>
      </c>
      <c r="I29" s="39" t="inlineStr">
        <is>
          <t>Aksi 'Increase near-term FX protection' menampilkan 'FX exposure: 3.3m -1.3m -&gt; 2.0m'. Melindungi sisa 1,3 juta USD seharusnya membuat eksposur tanpa lindung nilai turun dari 1,3 juta menjadi nol, atau coverage naik dari 61% ke 100%. Seperti tertulis, 2,0 juta adalah nilai hedge, bukan sisa eksposur.</t>
        </is>
      </c>
      <c r="J29" s="39" t="inlineStr">
        <is>
          <t>'Eksposur tanpa lindung nilai: USD 1,3 juta -&gt; USD 0' atau 'Coverage: 61% -&gt; 100%'.</t>
        </is>
      </c>
      <c r="K29" s="39" t="inlineStr">
        <is>
          <t>Tertukar antara eksposur bruto dan notional yang di-hedge.</t>
        </is>
      </c>
      <c r="L29" s="39" t="inlineStr">
        <is>
          <t>Backend / logika agent</t>
        </is>
      </c>
      <c r="M29" s="39" t="inlineStr">
        <is>
          <t>2026-08-04</t>
        </is>
      </c>
      <c r="N29" s="28" t="inlineStr">
        <is>
          <t>Terbuka</t>
        </is>
      </c>
      <c r="O29" s="28" t="n"/>
      <c r="P29" s="28" t="n"/>
      <c r="Q29" s="28" t="n"/>
    </row>
    <row r="30" ht="39" customHeight="1">
      <c r="A30" s="39" t="inlineStr">
        <is>
          <t>QC-026</t>
        </is>
      </c>
      <c r="B30" s="39" t="inlineStr">
        <is>
          <t>2026-07-28</t>
        </is>
      </c>
      <c r="C30" s="39" t="inlineStr">
        <is>
          <t>Collection</t>
        </is>
      </c>
      <c r="D30" s="39" t="inlineStr">
        <is>
          <t>a. Kesesuaian formula</t>
        </is>
      </c>
      <c r="E30" s="39" t="inlineStr">
        <is>
          <t>Logika</t>
        </is>
      </c>
      <c r="F30" s="39" t="inlineStr">
        <is>
          <t>Sedang</t>
        </is>
      </c>
      <c r="G30" s="39" t="inlineStr">
        <is>
          <t>Tidak</t>
        </is>
      </c>
      <c r="H30" s="39" t="inlineStr">
        <is>
          <t>Tingkat recovery mengabaikan umur piutang</t>
        </is>
      </c>
      <c r="I30" s="39" t="inlineStr">
        <is>
          <t>Expected recovery hanya ditentukan risk tier: High 40%, Medium 85%, Low 95%. CV Berkah Jaya pada 90+ hari mendapat 40%, sedangkan PT Sumber Makmur pada 61-90 hari mendapat 85%, sama dengan akun 31-60 hari.</t>
        </is>
      </c>
      <c r="J30" s="39" t="inlineStr">
        <is>
          <t>Tingkat recovery seharusnya merupakan fungsi dari tier DAN bucket umur piutang.</t>
        </is>
      </c>
      <c r="K30" s="39" t="inlineStr">
        <is>
          <t>Model recovery hanya satu faktor.</t>
        </is>
      </c>
      <c r="L30" s="39" t="inlineStr">
        <is>
          <t>Backend / logika agent</t>
        </is>
      </c>
      <c r="M30" s="39" t="inlineStr">
        <is>
          <t>2026-08-11</t>
        </is>
      </c>
      <c r="N30" s="28" t="inlineStr">
        <is>
          <t>Terbuka</t>
        </is>
      </c>
      <c r="O30" s="28" t="n"/>
      <c r="P30" s="28" t="n"/>
      <c r="Q30" s="28" t="n"/>
    </row>
    <row r="31" ht="26" customHeight="1">
      <c r="A31" s="39" t="inlineStr">
        <is>
          <t>QC-027</t>
        </is>
      </c>
      <c r="B31" s="39" t="inlineStr">
        <is>
          <t>2026-07-28</t>
        </is>
      </c>
      <c r="C31" s="39" t="inlineStr">
        <is>
          <t>Finance</t>
        </is>
      </c>
      <c r="D31" s="39" t="inlineStr">
        <is>
          <t>a. Kesesuaian formula</t>
        </is>
      </c>
      <c r="E31" s="39" t="inlineStr">
        <is>
          <t>Formula</t>
        </is>
      </c>
      <c r="F31" s="39" t="inlineStr">
        <is>
          <t>Sedang</t>
        </is>
      </c>
      <c r="G31" s="39" t="inlineStr">
        <is>
          <t>Tidak</t>
        </is>
      </c>
      <c r="H31" s="39" t="inlineStr">
        <is>
          <t>Satu persentase margin dibulatkan ke bawah, yang lain dibulatkan normal</t>
        </is>
      </c>
      <c r="I31" s="39" t="inlineStr">
        <is>
          <t>Gross margin Precision tampil 36,2%. Perhitungan 4.930 / 13.600 = 36,25%, seharusnya tampil 36,3%. Industrial 23,81% -&gt; 23,8 dan Standard 16,67% -&gt; 16,7 sudah benar.</t>
        </is>
      </c>
      <c r="J31" s="39" t="inlineStr">
        <is>
          <t>Pembulatan konsisten, half up.</t>
        </is>
      </c>
      <c r="K31" s="39" t="inlineStr">
        <is>
          <t>Pemotongan angka (truncation) alih-alih pembulatan pada jalur ini.</t>
        </is>
      </c>
      <c r="L31" s="39" t="inlineStr">
        <is>
          <t>Frontend</t>
        </is>
      </c>
      <c r="M31" s="39" t="inlineStr">
        <is>
          <t>2026-08-11</t>
        </is>
      </c>
      <c r="N31" s="72" t="inlineStr">
        <is>
          <t>Sudah diperbaiki - menunggu uji ulang</t>
        </is>
      </c>
      <c r="O31" s="28" t="n"/>
      <c r="P31" s="28" t="n"/>
      <c r="Q31" s="28" t="inlineStr">
        <is>
          <t>Fixed 30 Jul 2026 (commit f448e66). Python and IEEE round half to even, so round(36.25, 1) is 36.2. Added _round_half_up and routed _fmt and _pct through it. Product GM% is now 23.8 / 36.3 / 16.7.</t>
        </is>
      </c>
    </row>
    <row r="32" ht="26" customHeight="1">
      <c r="A32" s="39" t="inlineStr">
        <is>
          <t>QC-028</t>
        </is>
      </c>
      <c r="B32" s="39" t="inlineStr">
        <is>
          <t>2026-07-28</t>
        </is>
      </c>
      <c r="C32" s="39" t="inlineStr">
        <is>
          <t>Collection</t>
        </is>
      </c>
      <c r="D32" s="39" t="inlineStr">
        <is>
          <t>b. Kesesuaian grafik</t>
        </is>
      </c>
      <c r="E32" s="39" t="inlineStr">
        <is>
          <t>Grafik</t>
        </is>
      </c>
      <c r="F32" s="39" t="inlineStr">
        <is>
          <t>Sedang</t>
        </is>
      </c>
      <c r="G32" s="39" t="inlineStr">
        <is>
          <t>Tidak</t>
        </is>
      </c>
      <c r="H32" s="39" t="inlineStr">
        <is>
          <t>Gauge DSO menampilkan progres 120% pada metrik yang justru lebih baik bila rendah</t>
        </is>
      </c>
      <c r="I32" s="39" t="inlineStr">
        <is>
          <t>KPI DSO memiliki progress 1,2 (57 / 47).</t>
        </is>
      </c>
      <c r="J32" s="39" t="inlineStr">
        <is>
          <t>Balik arah gauge, atau tampilkan selisih hari terhadap target, bukan persentase progres.</t>
        </is>
      </c>
      <c r="K32" s="39" t="inlineStr">
        <is>
          <t>Perhitungan progres generik diterapkan pada metrik terbalik.</t>
        </is>
      </c>
      <c r="L32" s="39" t="inlineStr">
        <is>
          <t>Frontend</t>
        </is>
      </c>
      <c r="M32" s="39" t="inlineStr">
        <is>
          <t>2026-08-11</t>
        </is>
      </c>
      <c r="N32" s="72" t="inlineStr">
        <is>
          <t>Sudah diperbaiki - menunggu uji ulang</t>
        </is>
      </c>
      <c r="O32" s="28" t="n"/>
      <c r="P32" s="28" t="n"/>
      <c r="Q32" s="28" t="inlineStr">
        <is>
          <t>Fixed 30 Jul 2026 (commit f448e66). Added a lower_is_better flag so enrichment inverts the ratio. DSO progress is now 0.8246 (47/57) instead of the clamped 1.2.</t>
        </is>
      </c>
    </row>
    <row r="33" ht="26" customHeight="1">
      <c r="A33" s="39" t="inlineStr">
        <is>
          <t>QC-029</t>
        </is>
      </c>
      <c r="B33" s="39" t="inlineStr">
        <is>
          <t>2026-07-28</t>
        </is>
      </c>
      <c r="C33" s="39" t="inlineStr">
        <is>
          <t>Treasury</t>
        </is>
      </c>
      <c r="D33" s="39" t="inlineStr">
        <is>
          <t>d. Prompt dan respons</t>
        </is>
      </c>
      <c r="E33" s="39" t="inlineStr">
        <is>
          <t>Format</t>
        </is>
      </c>
      <c r="F33" s="39" t="inlineStr">
        <is>
          <t>Sedang</t>
        </is>
      </c>
      <c r="G33" s="39" t="inlineStr">
        <is>
          <t>Tidak</t>
        </is>
      </c>
      <c r="H33" s="39" t="inlineStr">
        <is>
          <t>Format angka tidak konsisten dalam satu baris KPI</t>
        </is>
      </c>
      <c r="I33" s="39" t="inlineStr">
        <is>
          <t>'Net USD exposure 3.3 M USD' bersebelahan dengan 'Recommended hedge 2,000,000 USD'. Kekurangan kas Minggu 5 muncul sebagai 1.002, 1.002,5, dan 1.003 di tempat berbeda.</t>
        </is>
      </c>
      <c r="J33" s="39" t="inlineStr">
        <is>
          <t>Satu format per satuan di seluruh aplikasi.</t>
        </is>
      </c>
      <c r="K33" s="39" t="inlineStr">
        <is>
          <t>Tidak ada helper format bersama.</t>
        </is>
      </c>
      <c r="L33" s="39" t="inlineStr">
        <is>
          <t>Frontend</t>
        </is>
      </c>
      <c r="M33" s="39" t="inlineStr">
        <is>
          <t>2026-08-11</t>
        </is>
      </c>
      <c r="N33" s="72" t="inlineStr">
        <is>
          <t>Sudah diperbaiki - menunggu uji ulang</t>
        </is>
      </c>
      <c r="O33" s="28" t="n"/>
      <c r="P33" s="28" t="n"/>
      <c r="Q33" s="28" t="inlineStr">
        <is>
          <t>Fixed 30 Jul 2026 (commit f448e66). One USD scale across the KPI row: 3.3 M USD beside 2.0 M USD, instead of 3.3 M USD beside 2,000,000 USD which hid that 2.0 is less than 3.3.</t>
        </is>
      </c>
    </row>
    <row r="34" ht="26" customHeight="1">
      <c r="A34" s="39" t="inlineStr">
        <is>
          <t>QC-030</t>
        </is>
      </c>
      <c r="B34" s="39" t="inlineStr">
        <is>
          <t>2026-07-28</t>
        </is>
      </c>
      <c r="C34" s="39" t="inlineStr">
        <is>
          <t>Collection</t>
        </is>
      </c>
      <c r="D34" s="39" t="inlineStr">
        <is>
          <t>a. Kesesuaian formula</t>
        </is>
      </c>
      <c r="E34" s="39" t="inlineStr">
        <is>
          <t>Penamaan</t>
        </is>
      </c>
      <c r="F34" s="39" t="inlineStr">
        <is>
          <t>Sedang</t>
        </is>
      </c>
      <c r="G34" s="39" t="inlineStr">
        <is>
          <t>Tidak</t>
        </is>
      </c>
      <c r="H34" s="39" t="inlineStr">
        <is>
          <t>Aksi memberi label saldo dua pelanggan sebagai total piutang overdue</t>
        </is>
      </c>
      <c r="I34" s="39" t="inlineStr">
        <is>
          <t>Aksi 'Tighten exposure controls' menampilkan 'Overdue AR: 16500 -3000 -&gt; 13500'. Total piutang overdue adalah 37.935. Angka 16.500 adalah dua pelanggan terbesar.</t>
        </is>
      </c>
      <c r="J34" s="39" t="inlineStr">
        <is>
          <t>'Top-2 overdue: 16.500 -&gt; 13.500'.</t>
        </is>
      </c>
      <c r="K34" s="39" t="inlineStr">
        <is>
          <t>Nama metrik dipakai ulang.</t>
        </is>
      </c>
      <c r="L34" s="39" t="inlineStr">
        <is>
          <t>Backend / logika agent</t>
        </is>
      </c>
      <c r="M34" s="39" t="inlineStr">
        <is>
          <t>2026-08-11</t>
        </is>
      </c>
      <c r="N34" s="28" t="inlineStr">
        <is>
          <t>Terbuka</t>
        </is>
      </c>
      <c r="O34" s="28" t="n"/>
      <c r="P34" s="28" t="n"/>
      <c r="Q34" s="28" t="n"/>
    </row>
    <row r="35" ht="39" customHeight="1">
      <c r="A35" s="39" t="inlineStr">
        <is>
          <t>QC-031</t>
        </is>
      </c>
      <c r="B35" s="39" t="inlineStr">
        <is>
          <t>2026-07-28</t>
        </is>
      </c>
      <c r="C35" s="39" t="inlineStr">
        <is>
          <t>Leakage</t>
        </is>
      </c>
      <c r="D35" s="39" t="inlineStr">
        <is>
          <t>a. Kesesuaian formula</t>
        </is>
      </c>
      <c r="E35" s="39" t="inlineStr">
        <is>
          <t>Penamaan</t>
        </is>
      </c>
      <c r="F35" s="39" t="inlineStr">
        <is>
          <t>Sedang</t>
        </is>
      </c>
      <c r="G35" s="39" t="inlineStr">
        <is>
          <t>Tidak</t>
        </is>
      </c>
      <c r="H35" s="39" t="inlineStr">
        <is>
          <t>Aksi memakai angka setahun sementara dashboard menampilkan angka per siklus</t>
        </is>
      </c>
      <c r="I35" s="39" t="inlineStr">
        <is>
          <t>Aksi 'Tighten early-payment discount capture' menampilkan 'Discount leakage: 2470 -50% -&gt; 1235'. Angka 'Lost' di dashboard adalah 95 mn. Alert menjelaskan 95 mn per siklus disetahunkan menjadi 2.470 mn.</t>
        </is>
      </c>
      <c r="J35" s="39" t="inlineStr">
        <is>
          <t>Cantumkan basisnya di kartu: 'Discount leakage (disetahunkan)'.</t>
        </is>
      </c>
      <c r="K35" s="39" t="inlineStr">
        <is>
          <t>Tidak ada label periode pada teks dampak.</t>
        </is>
      </c>
      <c r="L35" s="39" t="inlineStr">
        <is>
          <t>Backend / logika agent</t>
        </is>
      </c>
      <c r="M35" s="39" t="inlineStr">
        <is>
          <t>2026-08-11</t>
        </is>
      </c>
      <c r="N35" s="28" t="inlineStr">
        <is>
          <t>Terbuka</t>
        </is>
      </c>
      <c r="O35" s="28" t="n"/>
      <c r="P35" s="28" t="n"/>
      <c r="Q35" s="28" t="n"/>
    </row>
    <row r="36" ht="26" customHeight="1">
      <c r="A36" s="39" t="inlineStr">
        <is>
          <t>QC-032</t>
        </is>
      </c>
      <c r="B36" s="39" t="inlineStr">
        <is>
          <t>2026-07-28</t>
        </is>
      </c>
      <c r="C36" s="39" t="inlineStr">
        <is>
          <t>Leakage</t>
        </is>
      </c>
      <c r="D36" s="39" t="inlineStr">
        <is>
          <t>a. Kesesuaian formula</t>
        </is>
      </c>
      <c r="E36" s="39" t="inlineStr">
        <is>
          <t>Penamaan</t>
        </is>
      </c>
      <c r="F36" s="39" t="inlineStr">
        <is>
          <t>Sedang</t>
        </is>
      </c>
      <c r="G36" s="39" t="inlineStr">
        <is>
          <t>Tidak</t>
        </is>
      </c>
      <c r="H36" s="39" t="inlineStr">
        <is>
          <t>Angka 900 mn yang sama muncul dengan tiga nama berbeda</t>
        </is>
      </c>
      <c r="I36" s="39" t="inlineStr">
        <is>
          <t>Alert menyebutnya 'IDR 900mn excess vs PO/GRN'. Baseline simulator memecahnya menjadi overbill_amount 400 dan other_blocked 500. Sebuah aksi menyebutnya 'overbilling risk: 900mn'.</t>
        </is>
      </c>
      <c r="J36" s="39" t="inlineStr">
        <is>
          <t>Satu nama, dengan rincian pemecahannya di bawahnya.</t>
        </is>
      </c>
      <c r="K36" s="39" t="inlineStr">
        <is>
          <t>Penamaan field bergeser.</t>
        </is>
      </c>
      <c r="L36" s="39" t="inlineStr">
        <is>
          <t>Backend / logika agent</t>
        </is>
      </c>
      <c r="M36" s="39" t="inlineStr">
        <is>
          <t>2026-08-11</t>
        </is>
      </c>
      <c r="N36" s="28" t="inlineStr">
        <is>
          <t>Terbuka</t>
        </is>
      </c>
      <c r="O36" s="28" t="n"/>
      <c r="P36" s="28" t="n"/>
      <c r="Q36" s="28" t="n"/>
    </row>
    <row r="37" ht="26" customHeight="1">
      <c r="A37" s="39" t="inlineStr">
        <is>
          <t>QC-033</t>
        </is>
      </c>
      <c r="B37" s="39" t="inlineStr">
        <is>
          <t>2026-07-28</t>
        </is>
      </c>
      <c r="C37" s="39" t="inlineStr">
        <is>
          <t>Collection</t>
        </is>
      </c>
      <c r="D37" s="39" t="inlineStr">
        <is>
          <t>b. Kesesuaian grafik</t>
        </is>
      </c>
      <c r="E37" s="39" t="inlineStr">
        <is>
          <t>Grafik</t>
        </is>
      </c>
      <c r="F37" s="39" t="inlineStr">
        <is>
          <t>Sedang</t>
        </is>
      </c>
      <c r="G37" s="39" t="inlineStr">
        <is>
          <t>Tidak</t>
        </is>
      </c>
      <c r="H37" s="39" t="inlineStr">
        <is>
          <t>Dua grafik di layar yang sama mengurutkan pasangan data ke arah berlawanan</t>
        </is>
      </c>
      <c r="I37" s="39" t="inlineStr">
        <is>
          <t>Grafik utama 'prize' menampilkan Now lalu Target. Grafik samping 'DSO vs target' menampilkan Target lalu Now.</t>
        </is>
      </c>
      <c r="J37" s="39" t="inlineStr">
        <is>
          <t>Satu urutan saja.</t>
        </is>
      </c>
      <c r="K37" s="39" t="inlineStr">
        <is>
          <t>Konfigurasi grafik dibuat sendiri-sendiri.</t>
        </is>
      </c>
      <c r="L37" s="39" t="inlineStr">
        <is>
          <t>Frontend</t>
        </is>
      </c>
      <c r="M37" s="39" t="inlineStr">
        <is>
          <t>2026-08-11</t>
        </is>
      </c>
      <c r="N37" s="72" t="inlineStr">
        <is>
          <t>Sudah diperbaiki - menunggu uji ulang</t>
        </is>
      </c>
      <c r="O37" s="28" t="n"/>
      <c r="P37" s="28" t="n"/>
      <c r="Q37" s="28" t="inlineStr">
        <is>
          <t>Fixed 30 Jul 2026 (commit f448e66). Both charts now order [Now, Target]. Aligning them turned the pair into exact duplicates, so side:bottom was changed to Overdue vs expected recovery.</t>
        </is>
      </c>
    </row>
    <row r="38" ht="26" customHeight="1">
      <c r="A38" s="39" t="inlineStr">
        <is>
          <t>QC-034</t>
        </is>
      </c>
      <c r="B38" s="39" t="inlineStr">
        <is>
          <t>2026-07-28</t>
        </is>
      </c>
      <c r="C38" s="39" t="inlineStr">
        <is>
          <t>Treasury</t>
        </is>
      </c>
      <c r="D38" s="39" t="inlineStr">
        <is>
          <t>b. Kesesuaian grafik</t>
        </is>
      </c>
      <c r="E38" s="39" t="inlineStr">
        <is>
          <t>Grafik</t>
        </is>
      </c>
      <c r="F38" s="39" t="inlineStr">
        <is>
          <t>Sedang</t>
        </is>
      </c>
      <c r="G38" s="39" t="inlineStr">
        <is>
          <t>Tidak</t>
        </is>
      </c>
      <c r="H38" s="39" t="inlineStr">
        <is>
          <t>Batang bernilai nol di sebelah batang bernilai terbaca seperti gagal render</t>
        </is>
      </c>
      <c r="I38" s="39" t="inlineStr">
        <is>
          <t>Grafik 'FX impact if we do nothing' menampilkan Base = 0 di sebelah Adverse = 1.777,05.</t>
        </is>
      </c>
      <c r="J38" s="39" t="inlineStr">
        <is>
          <t>Tampilkan satu nilai dengan garis acuan, atau beri label eksplisit pada batang nol.</t>
        </is>
      </c>
      <c r="K38" s="39" t="inlineStr">
        <is>
          <t>Pilihan jenis grafik.</t>
        </is>
      </c>
      <c r="L38" s="39" t="inlineStr">
        <is>
          <t>Frontend</t>
        </is>
      </c>
      <c r="M38" s="39" t="inlineStr">
        <is>
          <t>2026-08-11</t>
        </is>
      </c>
      <c r="N38" s="72" t="inlineStr">
        <is>
          <t>Sudah diperbaiki - menunggu uji ulang</t>
        </is>
      </c>
      <c r="O38" s="28" t="n"/>
      <c r="P38" s="28" t="n"/>
      <c r="Q38" s="28" t="inlineStr">
        <is>
          <t>Fixed 30 Jul 2026 (commit f448e66). The zero 'Base' bar is gone. The chart now compares Do nothing 1,777.05 against Hedge 2.0M 700.05 - both non-zero, and the first equals the FX loss card.</t>
        </is>
      </c>
    </row>
    <row r="39" ht="26" customHeight="1">
      <c r="A39" s="39" t="inlineStr">
        <is>
          <t>QC-035</t>
        </is>
      </c>
      <c r="B39" s="39" t="inlineStr">
        <is>
          <t>2026-07-28</t>
        </is>
      </c>
      <c r="C39" s="39" t="inlineStr">
        <is>
          <t>Semua agent</t>
        </is>
      </c>
      <c r="D39" s="39" t="inlineStr">
        <is>
          <t>b. Kesesuaian grafik</t>
        </is>
      </c>
      <c r="E39" s="39" t="inlineStr">
        <is>
          <t>Grafik</t>
        </is>
      </c>
      <c r="F39" s="39" t="inlineStr">
        <is>
          <t>Sedang</t>
        </is>
      </c>
      <c r="G39" s="39" t="inlineStr">
        <is>
          <t>Ya</t>
        </is>
      </c>
      <c r="H39" s="39" t="inlineStr">
        <is>
          <t>Tidak ada grafik yang mencantumkan periodenya</t>
        </is>
      </c>
      <c r="I39" s="39" t="inlineStr">
        <is>
          <t>Tidak satu pun dari empat dashboard menyebutkan apakah angkanya bulanan, year to date, atau setahun penuh.</t>
        </is>
      </c>
      <c r="J39" s="39" t="inlineStr">
        <is>
          <t>Setiap judul grafik mencantumkan periode, misalnya 'Okt 2025 sampai Sep 2026'.</t>
        </is>
      </c>
      <c r="K39" s="39" t="inlineStr">
        <is>
          <t>Periode tidak menjadi bagian dari payload.</t>
        </is>
      </c>
      <c r="L39" s="39" t="inlineStr">
        <is>
          <t>Frontend + backend</t>
        </is>
      </c>
      <c r="M39" s="39" t="inlineStr">
        <is>
          <t>2026-08-11</t>
        </is>
      </c>
      <c r="N39" s="28" t="inlineStr">
        <is>
          <t>Terbuka</t>
        </is>
      </c>
      <c r="O39" s="28" t="n"/>
      <c r="P39" s="28" t="n"/>
      <c r="Q39" s="28" t="n"/>
    </row>
    <row r="40" ht="26" customHeight="1">
      <c r="A40" s="39" t="inlineStr">
        <is>
          <t>QC-036</t>
        </is>
      </c>
      <c r="B40" s="39" t="inlineStr">
        <is>
          <t>2026-07-28</t>
        </is>
      </c>
      <c r="C40" s="39" t="inlineStr">
        <is>
          <t>Finance</t>
        </is>
      </c>
      <c r="D40" s="39" t="inlineStr">
        <is>
          <t>b. Kesesuaian grafik</t>
        </is>
      </c>
      <c r="E40" s="39" t="inlineStr">
        <is>
          <t>Grafik</t>
        </is>
      </c>
      <c r="F40" s="39" t="inlineStr">
        <is>
          <t>Sedang</t>
        </is>
      </c>
      <c r="G40" s="39" t="inlineStr">
        <is>
          <t>Tidak</t>
        </is>
      </c>
      <c r="H40" s="39" t="inlineStr">
        <is>
          <t>Grafik samping menduplikasi grafik utama persis</t>
        </is>
      </c>
      <c r="I40" s="39" t="inlineStr">
        <is>
          <t>side.top 'Margin by product' memiliki data identik dengan tampilan 'product'.</t>
        </is>
      </c>
      <c r="J40" s="39" t="inlineStr">
        <is>
          <t>Gunakan slot samping untuk sesuatu yang tidak ditampilkan tampilan utama.</t>
        </is>
      </c>
      <c r="K40" s="39" t="inlineStr">
        <is>
          <t>Placeholder layout belum diganti.</t>
        </is>
      </c>
      <c r="L40" s="39" t="inlineStr">
        <is>
          <t>Frontend</t>
        </is>
      </c>
      <c r="M40" s="39" t="inlineStr">
        <is>
          <t>2026-08-11</t>
        </is>
      </c>
      <c r="N40" s="72" t="inlineStr">
        <is>
          <t>Sudah diperbaiki - menunggu uji ulang</t>
        </is>
      </c>
      <c r="O40" s="28" t="n"/>
      <c r="P40" s="28" t="n"/>
      <c r="Q40" s="28" t="inlineStr">
        <is>
          <t>Fixed 30 Jul 2026 (commit f448e66). Finance side:top was byte-identical to view:product. It now shows the gross margin pool in IDR (4,550 / 4,930 / 2,300 = 11,780) rather than repeating the rate.</t>
        </is>
      </c>
    </row>
    <row r="41" ht="39" customHeight="1">
      <c r="A41" s="39" t="inlineStr">
        <is>
          <t>QC-037</t>
        </is>
      </c>
      <c r="B41" s="39" t="inlineStr">
        <is>
          <t>2026-07-28</t>
        </is>
      </c>
      <c r="C41" s="39" t="inlineStr">
        <is>
          <t>Treasury</t>
        </is>
      </c>
      <c r="D41" s="39" t="inlineStr">
        <is>
          <t>b. Kesesuaian grafik</t>
        </is>
      </c>
      <c r="E41" s="39" t="inlineStr">
        <is>
          <t>Grafik</t>
        </is>
      </c>
      <c r="F41" s="39" t="inlineStr">
        <is>
          <t>Sedang</t>
        </is>
      </c>
      <c r="G41" s="39" t="inlineStr">
        <is>
          <t>Ya</t>
        </is>
      </c>
      <c r="H41" s="39" t="inlineStr">
        <is>
          <t>Grafik kas tidak bisa menjawab mengapa Minggu 5 rendah</t>
        </is>
      </c>
      <c r="I41" s="39" t="inlineStr">
        <is>
          <t>Tampilan forecast hanya berisi saldo akhir, tanpa rincian arus masuk dan keluar.</t>
        </is>
      </c>
      <c r="J41" s="39" t="inlineStr">
        <is>
          <t>Tampilkan arus masuk, arus keluar, dan lini terbesar di baliknya per minggu, supaya pertanyaan lanjutan bisa dijawab langsung di layar.</t>
        </is>
      </c>
      <c r="K41" s="39" t="inlineStr">
        <is>
          <t>Hanya seri saldo yang disimpan.</t>
        </is>
      </c>
      <c r="L41" s="39" t="inlineStr">
        <is>
          <t>Backend + frontend</t>
        </is>
      </c>
      <c r="M41" s="39" t="inlineStr">
        <is>
          <t>2026-08-11</t>
        </is>
      </c>
      <c r="N41" s="28" t="inlineStr">
        <is>
          <t>Terbuka</t>
        </is>
      </c>
      <c r="O41" s="28" t="n"/>
      <c r="P41" s="28" t="n"/>
      <c r="Q41" s="28" t="n"/>
    </row>
    <row r="42" ht="26" customHeight="1">
      <c r="A42" s="39" t="inlineStr">
        <is>
          <t>QC-038</t>
        </is>
      </c>
      <c r="B42" s="39" t="inlineStr">
        <is>
          <t>2026-07-28</t>
        </is>
      </c>
      <c r="C42" s="39" t="inlineStr">
        <is>
          <t>Collection</t>
        </is>
      </c>
      <c r="D42" s="39" t="inlineStr">
        <is>
          <t>b. Kesesuaian grafik</t>
        </is>
      </c>
      <c r="E42" s="39" t="inlineStr">
        <is>
          <t>Grafik</t>
        </is>
      </c>
      <c r="F42" s="39" t="inlineStr">
        <is>
          <t>Rendah</t>
        </is>
      </c>
      <c r="G42" s="39" t="inlineStr">
        <is>
          <t>Tidak</t>
        </is>
      </c>
      <c r="H42" s="39" t="inlineStr">
        <is>
          <t>Kolom bucket pada worklist menempatkan seluruh saldo ke bucket tertua</t>
        </is>
      </c>
      <c r="I42" s="39" t="inlineStr">
        <is>
          <t>PT Anugerah Prima menampilkan 10.000 pada bucket '31-60 days', sementara grafik aging memecah nilai ke lima bucket.</t>
        </is>
      </c>
      <c r="J42" s="39" t="inlineStr">
        <is>
          <t>Beri label 'Bucket tertua', atau pecah saldo pelanggan per bucket.</t>
        </is>
      </c>
      <c r="K42" s="39" t="inlineStr">
        <is>
          <t>Kolom menampilkan umur maksimum, tetapi judulnya tidak menyatakan itu.</t>
        </is>
      </c>
      <c r="L42" s="39" t="inlineStr">
        <is>
          <t>Frontend</t>
        </is>
      </c>
      <c r="M42" s="39" t="inlineStr">
        <is>
          <t>2026-08-18</t>
        </is>
      </c>
      <c r="N42" s="28" t="inlineStr">
        <is>
          <t>Terbuka</t>
        </is>
      </c>
      <c r="O42" s="28" t="n"/>
      <c r="P42" s="28" t="n"/>
      <c r="Q42" s="28" t="n"/>
    </row>
    <row r="43" ht="52" customHeight="1">
      <c r="A43" s="39" t="inlineStr">
        <is>
          <t>QC-039</t>
        </is>
      </c>
      <c r="B43" s="39" t="inlineStr">
        <is>
          <t>2026-07-28</t>
        </is>
      </c>
      <c r="C43" s="39" t="inlineStr">
        <is>
          <t>Semua agent</t>
        </is>
      </c>
      <c r="D43" s="39" t="inlineStr">
        <is>
          <t>d. Prompt dan respons</t>
        </is>
      </c>
      <c r="E43" s="39" t="inlineStr">
        <is>
          <t>Konten</t>
        </is>
      </c>
      <c r="F43" s="39" t="inlineStr">
        <is>
          <t>Sedang</t>
        </is>
      </c>
      <c r="G43" s="39" t="inlineStr">
        <is>
          <t>Ya</t>
        </is>
      </c>
      <c r="H43" s="39" t="inlineStr">
        <is>
          <t>Kata 'illustrative' terekspos di dalam payload</t>
        </is>
      </c>
      <c r="I43" s="39" t="inlineStr">
        <is>
          <t>Simulator Finance menyetel illustrative: true, sebuah note berbunyi 'Illustrative breakdown; profit_summary has no opex line columns in this batch', grafik FX berjudul 'FX sensitivity (illustrative)', note vendor score berbunyi 'Score is illustrative (0-100)', dan note tabel hedge menyebut 'an illustrative 170 IDR/USD forward spread'.</t>
        </is>
      </c>
      <c r="J43" s="39" t="inlineStr">
        <is>
          <t>Hapus catatan developer dari apa pun yang bisa dilihat CFO. Kalau perlu disclosure, cukup satu badge 'demo data' yang rapi.</t>
        </is>
      </c>
      <c r="K43" s="39" t="inlineStr">
        <is>
          <t>Catatan debug tertinggal di response model.</t>
        </is>
      </c>
      <c r="L43" s="39" t="inlineStr">
        <is>
          <t>Backend</t>
        </is>
      </c>
      <c r="M43" s="39" t="inlineStr">
        <is>
          <t>2026-08-11</t>
        </is>
      </c>
      <c r="N43" s="72" t="inlineStr">
        <is>
          <t>Sudah diperbaiki - menunggu uji ulang</t>
        </is>
      </c>
      <c r="O43" s="28" t="n"/>
      <c r="P43" s="28" t="n"/>
      <c r="Q43" s="28" t="inlineStr">
        <is>
          <t>Fixed 30 Jul 2026 (commit f448e66). Removed the 'illustrative' flags, the db_kpis_count / db_profit_count / db_variance_count debug counters, and reworded the debug-flavoured notes. A test now fails if any of them come back.</t>
        </is>
      </c>
    </row>
    <row r="44" ht="39" customHeight="1">
      <c r="A44" s="39" t="inlineStr">
        <is>
          <t>QC-040</t>
        </is>
      </c>
      <c r="B44" s="39" t="inlineStr">
        <is>
          <t>2026-07-28</t>
        </is>
      </c>
      <c r="C44" s="39" t="inlineStr">
        <is>
          <t>Treasury</t>
        </is>
      </c>
      <c r="D44" s="39" t="inlineStr">
        <is>
          <t>d. Prompt dan respons</t>
        </is>
      </c>
      <c r="E44" s="39" t="inlineStr">
        <is>
          <t>Konten</t>
        </is>
      </c>
      <c r="F44" s="39" t="inlineStr">
        <is>
          <t>Sedang</t>
        </is>
      </c>
      <c r="G44" s="39" t="inlineStr">
        <is>
          <t>Ya</t>
        </is>
      </c>
      <c r="H44" s="39" t="inlineStr">
        <is>
          <t>Belum jelas apakah keterlambatan pelanggan sudah masuk ke dalam forecast</t>
        </is>
      </c>
      <c r="I44" s="39" t="inlineStr">
        <is>
          <t>Sebuah alert menyebut pelanggan menunda IDR 8.000 mn dari Minggu 5 ke Minggu 7. Kalau penundaan itu sudah ada di dalam baseline, Minggu 5 seharusnya 14.997,5 dan tidak ada pelanggaran buffer sama sekali.</t>
        </is>
      </c>
      <c r="J44" s="39" t="inlineStr">
        <is>
          <t>Nyatakan dengan jelas apakah forecast disajikan sebelum atau sesudah penundaan.</t>
        </is>
      </c>
      <c r="K44" s="39" t="inlineStr">
        <is>
          <t>Definisi baseline tidak terdokumentasi.</t>
        </is>
      </c>
      <c r="L44" s="39" t="inlineStr">
        <is>
          <t>Backend / logika agent</t>
        </is>
      </c>
      <c r="M44" s="39" t="inlineStr">
        <is>
          <t>2026-08-11</t>
        </is>
      </c>
      <c r="N44" s="28" t="inlineStr">
        <is>
          <t>Terbuka</t>
        </is>
      </c>
      <c r="O44" s="28" t="n"/>
      <c r="P44" s="28" t="n"/>
      <c r="Q44" s="28" t="n"/>
    </row>
    <row r="45" ht="26" customHeight="1">
      <c r="A45" s="39" t="inlineStr">
        <is>
          <t>QC-041</t>
        </is>
      </c>
      <c r="B45" s="39" t="inlineStr">
        <is>
          <t>2026-07-28</t>
        </is>
      </c>
      <c r="C45" s="39" t="inlineStr">
        <is>
          <t>Treasury</t>
        </is>
      </c>
      <c r="D45" s="39" t="inlineStr">
        <is>
          <t>d. Prompt dan respons</t>
        </is>
      </c>
      <c r="E45" s="39" t="inlineStr">
        <is>
          <t>Konten</t>
        </is>
      </c>
      <c r="F45" s="39" t="inlineStr">
        <is>
          <t>Sedang</t>
        </is>
      </c>
      <c r="G45" s="39" t="inlineStr">
        <is>
          <t>Tidak</t>
        </is>
      </c>
      <c r="H45" s="39" t="inlineStr">
        <is>
          <t>Judul alert menyebut Minggu 5 tetapi datanya Minggu 6</t>
        </is>
      </c>
      <c r="I45" s="39" t="inlineStr">
        <is>
          <t>Alert 'Week 5 cash headroom critically thin' mengutip saldo 9.012,5 dan headroom 1.012,5, yang merupakan nilai Minggu 6.</t>
        </is>
      </c>
      <c r="J45" s="39" t="inlineStr">
        <is>
          <t>Judul harus cocok dengan minggu yang ada di buktinya.</t>
        </is>
      </c>
      <c r="K45" s="39" t="inlineStr">
        <is>
          <t>Variabel template tertukar.</t>
        </is>
      </c>
      <c r="L45" s="39" t="inlineStr">
        <is>
          <t>Backend / logika agent</t>
        </is>
      </c>
      <c r="M45" s="39" t="inlineStr">
        <is>
          <t>2026-08-11</t>
        </is>
      </c>
      <c r="N45" s="28" t="inlineStr">
        <is>
          <t>Terbuka</t>
        </is>
      </c>
      <c r="O45" s="28" t="n"/>
      <c r="P45" s="28" t="n"/>
      <c r="Q45" s="28" t="n"/>
    </row>
    <row r="46" ht="39" customHeight="1">
      <c r="A46" s="39" t="inlineStr">
        <is>
          <t>QC-042</t>
        </is>
      </c>
      <c r="B46" s="39" t="inlineStr">
        <is>
          <t>2026-07-28</t>
        </is>
      </c>
      <c r="C46" s="39" t="inlineStr">
        <is>
          <t>Semua agent</t>
        </is>
      </c>
      <c r="D46" s="39" t="inlineStr">
        <is>
          <t>d. Prompt dan respons</t>
        </is>
      </c>
      <c r="E46" s="39" t="inlineStr">
        <is>
          <t>Konten</t>
        </is>
      </c>
      <c r="F46" s="39" t="inlineStr">
        <is>
          <t>Sedang</t>
        </is>
      </c>
      <c r="G46" s="39" t="inlineStr">
        <is>
          <t>Ya</t>
        </is>
      </c>
      <c r="H46" s="39" t="inlineStr">
        <is>
          <t>Starter prompt tidak menampilkan bagian terkuat dari cerita</t>
        </is>
      </c>
      <c r="I46" s="39" t="inlineStr">
        <is>
          <t>Delapan starter prompt semuanya single-agent. Tidak ada satu pun yang memicu perpindahan dari satu agent ke agent lain, padahal itu pembedanya.</t>
        </is>
      </c>
      <c r="J46" s="39" t="inlineStr">
        <is>
          <t>Tambahkan prompt seperti 'Agent mana yang harus memperbaiki masalah margin?' dan 'Kalau Collection menarik kas lebih awal, apa dampaknya ke Minggu 5?'</t>
        </is>
      </c>
      <c r="K46" s="39" t="inlineStr">
        <is>
          <t>Pustaka prompt ditulis per agent secara terpisah.</t>
        </is>
      </c>
      <c r="L46" s="39" t="inlineStr">
        <is>
          <t>Pemilik demo</t>
        </is>
      </c>
      <c r="M46" s="39" t="inlineStr">
        <is>
          <t>2026-08-11</t>
        </is>
      </c>
      <c r="N46" s="28" t="inlineStr">
        <is>
          <t>Terbuka</t>
        </is>
      </c>
      <c r="O46" s="28" t="n"/>
      <c r="P46" s="28" t="n"/>
      <c r="Q46" s="28" t="n"/>
    </row>
    <row r="47" ht="39" customHeight="1">
      <c r="A47" s="39" t="inlineStr">
        <is>
          <t>QC-043</t>
        </is>
      </c>
      <c r="B47" s="39" t="inlineStr">
        <is>
          <t>2026-07-28</t>
        </is>
      </c>
      <c r="C47" s="39" t="inlineStr">
        <is>
          <t>Semua agent</t>
        </is>
      </c>
      <c r="D47" s="39" t="inlineStr">
        <is>
          <t>g. Filter</t>
        </is>
      </c>
      <c r="E47" s="39" t="inlineStr">
        <is>
          <t>Fitur</t>
        </is>
      </c>
      <c r="F47" s="39" t="inlineStr">
        <is>
          <t>Tinggi</t>
        </is>
      </c>
      <c r="G47" s="39" t="inlineStr">
        <is>
          <t>Ya</t>
        </is>
      </c>
      <c r="H47" s="39" t="inlineStr">
        <is>
          <t>Aplikasi sama sekali tidak punya filter</t>
        </is>
      </c>
      <c r="I47" s="39" t="inlineStr">
        <is>
          <t>Tidak ada endpoint yang menerima parameter filter. Tidak ada filter legal entity, periode, toko, kategori, pelanggan, vendor, mata uang, maupun skenario.</t>
        </is>
      </c>
      <c r="J47" s="39" t="inlineStr">
        <is>
          <t>Minimal: legal entity, periode, basis pembanding, toko, kategori, pelanggan, risk tier, bucket umur piutang, vendor, jenis kebocoran, minggu, dan jenis komitmen.</t>
        </is>
      </c>
      <c r="K47" s="39" t="inlineStr">
        <is>
          <t>Filtering memang tidak masuk lingkup mockup.</t>
        </is>
      </c>
      <c r="L47" s="39" t="inlineStr">
        <is>
          <t>Backend + frontend</t>
        </is>
      </c>
      <c r="M47" s="39" t="inlineStr">
        <is>
          <t>2026-08-04</t>
        </is>
      </c>
      <c r="N47" s="28" t="inlineStr">
        <is>
          <t>Terbuka</t>
        </is>
      </c>
      <c r="O47" s="28" t="n"/>
      <c r="P47" s="28" t="n"/>
      <c r="Q47" s="28" t="n"/>
    </row>
    <row r="48" ht="39" customHeight="1">
      <c r="A48" s="39" t="inlineStr">
        <is>
          <t>QC-044</t>
        </is>
      </c>
      <c r="B48" s="39" t="inlineStr">
        <is>
          <t>2026-07-28</t>
        </is>
      </c>
      <c r="C48" s="39" t="inlineStr">
        <is>
          <t>Semua agent</t>
        </is>
      </c>
      <c r="D48" s="39" t="inlineStr">
        <is>
          <t>f. Dataset</t>
        </is>
      </c>
      <c r="E48" s="39" t="inlineStr">
        <is>
          <t>Data</t>
        </is>
      </c>
      <c r="F48" s="39" t="inlineStr">
        <is>
          <t>Tinggi</t>
        </is>
      </c>
      <c r="G48" s="39" t="inlineStr">
        <is>
          <t>Ya</t>
        </is>
      </c>
      <c r="H48" s="39" t="inlineStr">
        <is>
          <t>Volume data jauh di bawah permintaan klien</t>
        </is>
      </c>
      <c r="I48" s="39" t="inlineStr">
        <is>
          <t>Collection menampilkan 8 pelanggan, Leakage menampilkan 8 vendor dan 10 transaksi, Finance menampilkan 3 lini produk. Tidak ada dimensi toko, item, kategori, maupun legal entity di mana pun dalam payload.</t>
        </is>
      </c>
      <c r="J48" s="39" t="inlineStr">
        <is>
          <t>Minimal 3 legal entity, 20 toko, 100 item, kategori yang lengkap, dan data bulanan sampai Sep 2026.</t>
        </is>
      </c>
      <c r="K48" s="39" t="inlineStr">
        <is>
          <t>Mockup di-seed dengan baris ilustratif yang ditulis manual.</t>
        </is>
      </c>
      <c r="L48" s="39" t="inlineStr">
        <is>
          <t>Backend / data</t>
        </is>
      </c>
      <c r="M48" s="39" t="inlineStr">
        <is>
          <t>2026-08-04</t>
        </is>
      </c>
      <c r="N48" s="28" t="inlineStr">
        <is>
          <t>Terbuka</t>
        </is>
      </c>
      <c r="O48" s="28" t="n"/>
      <c r="P48" s="28" t="n"/>
      <c r="Q48" s="28" t="n"/>
    </row>
    <row r="49" ht="39" customHeight="1">
      <c r="A49" s="39" t="inlineStr">
        <is>
          <t>QC-045</t>
        </is>
      </c>
      <c r="B49" s="39" t="inlineStr">
        <is>
          <t>2026-07-28</t>
        </is>
      </c>
      <c r="C49" s="39" t="inlineStr">
        <is>
          <t>Semua agent</t>
        </is>
      </c>
      <c r="D49" s="39" t="inlineStr">
        <is>
          <t>c. Tombol / menu / fungsi</t>
        </is>
      </c>
      <c r="E49" s="39" t="inlineStr">
        <is>
          <t>Belum diuji</t>
        </is>
      </c>
      <c r="F49" s="39" t="inlineStr">
        <is>
          <t>Tinggi</t>
        </is>
      </c>
      <c r="G49" s="39" t="inlineStr">
        <is>
          <t>Ya</t>
        </is>
      </c>
      <c r="H49" s="39" t="inlineStr">
        <is>
          <t>Perilaku interaktif tidak bisa diverifikasi dari luar</t>
        </is>
      </c>
      <c r="I49" s="39" t="inlineStr">
        <is>
          <t>Tombol, menu, perpindahan tab, slider simulator, approve dan simulate pada aksi, kirim chat, dan export semuanya berupa POST atau berjalan di sisi klien. Semua itu tidak bisa diuji lewat API read-only yang tersedia dari luar.</t>
        </is>
      </c>
      <c r="J49" s="39" t="inlineStr">
        <is>
          <t>Jalankan sheet 02 secara manual pada aplikasi live dan catat hasilnya.</t>
        </is>
      </c>
      <c r="K49" s="39" t="inlineStr">
        <is>
          <t>Bukan cacat aplikasi. Ini batas lingkup review.</t>
        </is>
      </c>
      <c r="L49" s="39" t="inlineStr">
        <is>
          <t>Pemilik demo</t>
        </is>
      </c>
      <c r="M49" s="39" t="inlineStr">
        <is>
          <t>2026-08-04</t>
        </is>
      </c>
      <c r="N49" s="28" t="inlineStr">
        <is>
          <t>Terbuka</t>
        </is>
      </c>
      <c r="O49" s="28" t="n"/>
      <c r="P49" s="28" t="n"/>
      <c r="Q49" s="28" t="n"/>
    </row>
    <row r="50" ht="39" customHeight="1">
      <c r="A50" s="39" t="inlineStr">
        <is>
          <t>QC-046</t>
        </is>
      </c>
      <c r="B50" s="39" t="inlineStr">
        <is>
          <t>2026-07-28</t>
        </is>
      </c>
      <c r="C50" s="39" t="inlineStr">
        <is>
          <t>Leakage</t>
        </is>
      </c>
      <c r="D50" s="39" t="inlineStr">
        <is>
          <t>a. Kesesuaian formula</t>
        </is>
      </c>
      <c r="E50" s="39" t="inlineStr">
        <is>
          <t>Logika</t>
        </is>
      </c>
      <c r="F50" s="39" t="inlineStr">
        <is>
          <t>Sedang</t>
        </is>
      </c>
      <c r="G50" s="39" t="inlineStr">
        <is>
          <t>Tidak</t>
        </is>
      </c>
      <c r="H50" s="39" t="inlineStr">
        <is>
          <t>Skor risiko vendor mengabaikan nilai dan tingkat keparahan</t>
        </is>
      </c>
      <c r="I50" s="39" t="inlineStr">
        <is>
          <t>Setiap vendor mendapat skor tepat jumlah flag dikali 20. Osaka Precision KK dengan 2 flag mendapat 40. Vendor dengan satu flag lost discount beberapa juta mendapat 20, sama dengan vendor dengan satu flag dugaan fraud senilai 3.800 mn.</t>
        </is>
      </c>
      <c r="J50" s="39" t="inlineStr">
        <is>
          <t>Skor ditimbang berdasarkan eksposur dan severity, sehingga kasus fraud berada di peringkat pertama.</t>
        </is>
      </c>
      <c r="K50" s="39" t="inlineStr">
        <is>
          <t>Formula skor masih placeholder, dan memang ditandai 'illustrative' di payload.</t>
        </is>
      </c>
      <c r="L50" s="39" t="inlineStr">
        <is>
          <t>Backend / logika agent</t>
        </is>
      </c>
      <c r="M50" s="39" t="inlineStr">
        <is>
          <t>2026-08-11</t>
        </is>
      </c>
      <c r="N50" s="72" t="inlineStr">
        <is>
          <t>Sudah diperbaiki - menunggu uji ulang</t>
        </is>
      </c>
      <c r="O50" s="28" t="n"/>
      <c r="P50" s="28" t="n"/>
      <c r="Q50" s="28" t="inlineStr">
        <is>
          <t>Fixed 30 Jul 2026 (commit f448e66). Score = 50% at-risk amount + 35% worst severity + 15% flag count, relative to the worst vendor in the batch. Live batch 17: Osaka 100, Shenzhen 64, Bahan Baku 56, Taipei 33.</t>
        </is>
      </c>
    </row>
    <row r="51" ht="39" customHeight="1">
      <c r="A51" s="39" t="inlineStr">
        <is>
          <t>QC-047</t>
        </is>
      </c>
      <c r="B51" s="39" t="inlineStr">
        <is>
          <t>2026-07-28</t>
        </is>
      </c>
      <c r="C51" s="39" t="inlineStr">
        <is>
          <t>Collection + Treasury</t>
        </is>
      </c>
      <c r="D51" s="39" t="inlineStr">
        <is>
          <t>a. Kesesuaian formula</t>
        </is>
      </c>
      <c r="E51" s="39" t="inlineStr">
        <is>
          <t>Logika</t>
        </is>
      </c>
      <c r="F51" s="39" t="inlineStr">
        <is>
          <t>Tinggi</t>
        </is>
      </c>
      <c r="G51" s="39" t="inlineStr">
        <is>
          <t>Ya</t>
        </is>
      </c>
      <c r="H51" s="39" t="inlineStr">
        <is>
          <t>Tuas penagihan Treasury tidak terhubung ke buku Collection</t>
        </is>
      </c>
      <c r="I51" s="39" t="inlineStr">
        <is>
          <t>Simulator Treasury membatasi 'Accelerate collection' pada IDR 8.000 mn. Agent Collection menyatakan satu pelanggan terbesar saja membebaskan 8.500 mn dan seluruh overdue membebaskan 32.163 mn.</t>
        </is>
      </c>
      <c r="J51" s="39" t="inlineStr">
        <is>
          <t>Batas maksimum tuas Treasury seharusnya diturunkan dari worklist Collection, dan menarik kas di Treasury seharusnya mengurangi piutang di Collection.</t>
        </is>
      </c>
      <c r="K51" s="39" t="inlineStr">
        <is>
          <t>Kedua simulator berdiri sendiri, sehingga perpindahan antar agent baru bersifat narasi, belum terhitung.</t>
        </is>
      </c>
      <c r="L51" s="39" t="inlineStr">
        <is>
          <t>Backend / logika agent</t>
        </is>
      </c>
      <c r="M51" s="39" t="inlineStr">
        <is>
          <t>2026-08-04</t>
        </is>
      </c>
      <c r="N51" s="28" t="inlineStr">
        <is>
          <t>Terbuka</t>
        </is>
      </c>
      <c r="O51" s="28" t="n"/>
      <c r="P51" s="28" t="n"/>
      <c r="Q51" s="28" t="n"/>
    </row>
    <row r="52" ht="78" customHeight="1">
      <c r="A52" s="39" t="inlineStr">
        <is>
          <t>QC-048</t>
        </is>
      </c>
      <c r="B52" s="39" t="inlineStr">
        <is>
          <t>2026-07-28</t>
        </is>
      </c>
      <c r="C52" s="39" t="inlineStr">
        <is>
          <t>Semua agent</t>
        </is>
      </c>
      <c r="D52" s="39" t="inlineStr">
        <is>
          <t>a. Kesesuaian formula</t>
        </is>
      </c>
      <c r="E52" s="39" t="inlineStr">
        <is>
          <t>Arsitektur</t>
        </is>
      </c>
      <c r="F52" s="39" t="inlineStr">
        <is>
          <t>Sedang</t>
        </is>
      </c>
      <c r="G52" s="39" t="inlineStr">
        <is>
          <t>Tidak</t>
        </is>
      </c>
      <c r="H52" s="39" t="inlineStr">
        <is>
          <t>Mockup dan aplikasi yang di-deploy menyebut angka berbeda</t>
        </is>
      </c>
      <c r="I52" s="39" t="inlineStr">
        <is>
          <t>File mandiri 03_CFO_FinanceAI_Suite_Mockup_v9.4 dan aplikasi Azure membawa angka berbeda. Kas Minggu 5: 6.698 versus 6.997,5. Panjang proyeksi: 14 minggu versus 13. Kekurangan Minggu 5: -1.302 versus -1.002,5. Grafik kategori Leakage: terisi versus nol semua. Batang ketiga grafik recovery: hidup berlabel 'Now' versus mati berlabel 'Current 95%'. DIPERJELAS 28 Juli: link Azure adalah build yang diuji, file HTML adalah acuan desain yang cukup disegarkan datasetnya. Jadi ini bukan dua produk yang bersaing, melainkan acuan yang mulai ditinggalkan oleh aplikasinya.</t>
        </is>
      </c>
      <c r="J52" s="39" t="inlineStr">
        <is>
          <t>Setelah keduanya memakai dataset pengganti, angka di aplikasi harus sama dengan mockup acuan. Sisa perbedaan apa pun harus merupakan pilihan yang disengaja dan didokumentasikan.</t>
        </is>
      </c>
      <c r="K52" s="39" t="inlineStr">
        <is>
          <t>Kedua jalur diperbarui pada waktu berbeda. Mockup HTML lebih maju dari aplikasi Azure dalam dua perbaikan: kategori Leakage dan batang recovery.</t>
        </is>
      </c>
      <c r="L52" s="39" t="inlineStr">
        <is>
          <t>Pemilik demo + Backend</t>
        </is>
      </c>
      <c r="M52" s="39" t="inlineStr">
        <is>
          <t>2026-08-11</t>
        </is>
      </c>
      <c r="N52" s="28" t="inlineStr">
        <is>
          <t>Selesai</t>
        </is>
      </c>
      <c r="O52" s="28" t="n"/>
      <c r="P52" s="28" t="n"/>
      <c r="Q52" s="28" t="inlineStr">
        <is>
          <t>Diturunkan dari Kritis ke Sedang pada 28 Juli 2026 setelah Susan menjelaskan perannya: link Azure yang diuji, mockup cukup disegarkan datasetnya. Bukan penghambat demo karena file HTML tidak ditampilkan ke audiens. Tetap dilacak supaya aplikasinya tidak makin jauh dari acuannya sendiri. Mockup versi baru dengan dataset pengganti sudah dikirim sebagai v10.0.</t>
        </is>
      </c>
    </row>
    <row r="53" ht="52" customHeight="1">
      <c r="A53" s="39" t="inlineStr">
        <is>
          <t>QC-049</t>
        </is>
      </c>
      <c r="B53" s="39" t="inlineStr">
        <is>
          <t>2026-07-28</t>
        </is>
      </c>
      <c r="C53" s="39" t="inlineStr">
        <is>
          <t>Semua agent</t>
        </is>
      </c>
      <c r="D53" s="39" t="inlineStr">
        <is>
          <t>c. Tombol / menu / fungsi</t>
        </is>
      </c>
      <c r="E53" s="39" t="inlineStr">
        <is>
          <t>Fitur hilang</t>
        </is>
      </c>
      <c r="F53" s="39" t="inlineStr">
        <is>
          <t>Kritis</t>
        </is>
      </c>
      <c r="G53" s="39" t="inlineStr">
        <is>
          <t>Ya</t>
        </is>
      </c>
      <c r="H53" s="39" t="inlineStr">
        <is>
          <t>Tidak ada panel penjelasan rumus di mana pun pada aplikasi &gt;&gt; Reasoning</t>
        </is>
      </c>
      <c r="I53" s="39" t="inlineStr">
        <is>
          <t>Mockup membawa registry penjelasan berisi sekitar 40 entri. Setiap KPI, grafik, baris tabel, dan angka simulator punya ikon (i) yang membuka arti dalam bahasa sederhana beserta rumus persisnya, misalnya 'Closing = Opening + Net cash flow; W5 = 5.789 versus buffer 8.000'. Payload dashboard Azure tidak punya field sepadan, dan openapi.json tidak memuat endpoint untuk itu.</t>
        </is>
      </c>
      <c r="J53" s="39" t="inlineStr">
        <is>
          <t>Setiap elemen di layar bisa menjelaskan angkanya sendiri saat diminta, lengkap dengan rumusnya.</t>
        </is>
      </c>
      <c r="K53" s="39" t="inlineStr">
        <is>
          <t>Aplikasi yang di-deploy dibangun dengan lingkup lebih sempit daripada mockup acuan.</t>
        </is>
      </c>
      <c r="L53" s="39" t="inlineStr">
        <is>
          <t>Backend + frontend</t>
        </is>
      </c>
      <c r="M53" s="39" t="inlineStr">
        <is>
          <t>2026-08-04</t>
        </is>
      </c>
      <c r="N53" s="28" t="inlineStr">
        <is>
          <t>Terbuka</t>
        </is>
      </c>
      <c r="O53" s="28" t="n"/>
      <c r="P53" s="28" t="n"/>
      <c r="Q53" s="28" t="inlineStr">
        <is>
          <t>Ditambahkan 28 Juli 2026 dari perbandingan fitur mockup v10.0 terhadap daftar endpoint openapi.json Azure.</t>
        </is>
      </c>
    </row>
    <row r="54" ht="39" customHeight="1">
      <c r="A54" s="39" t="inlineStr">
        <is>
          <t>QC-050</t>
        </is>
      </c>
      <c r="B54" s="39" t="inlineStr">
        <is>
          <t>2026-07-28</t>
        </is>
      </c>
      <c r="C54" s="39" t="inlineStr">
        <is>
          <t>Semua agent</t>
        </is>
      </c>
      <c r="D54" s="39" t="inlineStr">
        <is>
          <t>c. Tombol / menu / fungsi</t>
        </is>
      </c>
      <c r="E54" s="39" t="inlineStr">
        <is>
          <t>Fitur hilang</t>
        </is>
      </c>
      <c r="F54" s="39" t="inlineStr">
        <is>
          <t>Kritis</t>
        </is>
      </c>
      <c r="G54" s="39" t="inlineStr">
        <is>
          <t>Ya</t>
        </is>
      </c>
      <c r="H54" s="39" t="inlineStr">
        <is>
          <t>Tidak ada mode cerita terpandu</t>
        </is>
      </c>
      <c r="I54" s="39" t="inlineStr">
        <is>
          <t>Mockup punya tombol 'Play the CFO story' yang menjalankan seluruh narasi secara otomatis. Aplikasi Azure tidak punya padanannya. openapi.json hanya memuat chat, dashboard, simulator, alert, dan action.</t>
        </is>
      </c>
      <c r="J54" s="39" t="inlineStr">
        <is>
          <t>Ada alur terpandu yang sudah diskenariokan, supaya demo tidak bergantung pada pengetikan langsung dan bisa diulang persis sama.</t>
        </is>
      </c>
      <c r="K54" s="39" t="inlineStr">
        <is>
          <t>Aplikasi yang di-deploy dibangun dengan lingkup lebih sempit daripada mockup acuan.</t>
        </is>
      </c>
      <c r="L54" s="39" t="inlineStr">
        <is>
          <t>Frontend</t>
        </is>
      </c>
      <c r="M54" s="39" t="inlineStr">
        <is>
          <t>2026-08-04</t>
        </is>
      </c>
      <c r="N54" s="28" t="inlineStr">
        <is>
          <t>Bukan cacat</t>
        </is>
      </c>
      <c r="O54" s="28" t="n"/>
      <c r="P54" s="28" t="n"/>
      <c r="Q54" s="28" t="inlineStr">
        <is>
          <t>Ditambahkan 28 Juli 2026 dari perbandingan fitur mockup v10.0 terhadap daftar endpoint openapi.json Azure.</t>
        </is>
      </c>
    </row>
    <row r="55" ht="26" customHeight="1">
      <c r="A55" s="39" t="inlineStr">
        <is>
          <t>QC-051</t>
        </is>
      </c>
      <c r="B55" s="39" t="inlineStr">
        <is>
          <t>2026-07-28</t>
        </is>
      </c>
      <c r="C55" s="39" t="inlineStr">
        <is>
          <t>Semua agent</t>
        </is>
      </c>
      <c r="D55" s="39" t="inlineStr">
        <is>
          <t>c. Tombol / menu / fungsi</t>
        </is>
      </c>
      <c r="E55" s="39" t="inlineStr">
        <is>
          <t>Fitur hilang</t>
        </is>
      </c>
      <c r="F55" s="39" t="inlineStr">
        <is>
          <t>Tinggi</t>
        </is>
      </c>
      <c r="G55" s="39" t="inlineStr">
        <is>
          <t>Ya</t>
        </is>
      </c>
      <c r="H55" s="39" t="inlineStr">
        <is>
          <t>Simulator tidak bisa menyimpan, memuat, atau membandingkan skenario</t>
        </is>
      </c>
      <c r="I55" s="39" t="inlineStr">
        <is>
          <t>Mockup punya Save scenario, dropdown Load scenario, dan Compare (n). Aplikasi Azure hanya memiliki empat endpoint recalculate, tanpa penyimpanan dan tanpa pembanding.</t>
        </is>
      </c>
      <c r="J55" s="39" t="inlineStr">
        <is>
          <t>Minimal bisa menyimpan satu skenario dan membandingkannya berdampingan dengan baseline.</t>
        </is>
      </c>
      <c r="K55" s="39" t="inlineStr">
        <is>
          <t>Aplikasi yang di-deploy dibangun dengan lingkup lebih sempit daripada mockup acuan.</t>
        </is>
      </c>
      <c r="L55" s="39" t="inlineStr">
        <is>
          <t>Backend + frontend</t>
        </is>
      </c>
      <c r="M55" s="39" t="inlineStr">
        <is>
          <t>2026-08-08</t>
        </is>
      </c>
      <c r="N55" s="28" t="inlineStr">
        <is>
          <t>Terbuka</t>
        </is>
      </c>
      <c r="O55" s="28" t="n"/>
      <c r="P55" s="28" t="n"/>
      <c r="Q55" s="28" t="inlineStr">
        <is>
          <t>Ditambahkan 28 Juli 2026 dari perbandingan fitur mockup v10.0 terhadap daftar endpoint openapi.json Azure.</t>
        </is>
      </c>
    </row>
    <row r="56" ht="39" customHeight="1">
      <c r="A56" s="39" t="inlineStr">
        <is>
          <t>QC-052</t>
        </is>
      </c>
      <c r="B56" s="39" t="inlineStr">
        <is>
          <t>2026-07-28</t>
        </is>
      </c>
      <c r="C56" s="39" t="inlineStr">
        <is>
          <t>Semua agent</t>
        </is>
      </c>
      <c r="D56" s="39" t="inlineStr">
        <is>
          <t>c. Tombol / menu / fungsi</t>
        </is>
      </c>
      <c r="E56" s="39" t="inlineStr">
        <is>
          <t>Fitur hilang</t>
        </is>
      </c>
      <c r="F56" s="39" t="inlineStr">
        <is>
          <t>Tinggi</t>
        </is>
      </c>
      <c r="G56" s="39" t="inlineStr">
        <is>
          <t>Ya</t>
        </is>
      </c>
      <c r="H56" s="39" t="inlineStr">
        <is>
          <t>Simulator tidak punya preset</t>
        </is>
      </c>
      <c r="I56" s="39" t="inlineStr">
        <is>
          <t>Mockup menyediakan empat preset bernama per agent, misalnya 'Recommended: cover 1.8M @ +3%' dan 'Base (95% dup / 90% overbill)'. Payload simulator Azure hanya memuat inputs dan baseline.</t>
        </is>
      </c>
      <c r="J56" s="39" t="inlineStr">
        <is>
          <t>Tiga sampai empat preset bernama per agent, supaya presenter tidak perlu menggeser slider dengan presisi di depan kamera.</t>
        </is>
      </c>
      <c r="K56" s="39" t="inlineStr">
        <is>
          <t>Aplikasi yang di-deploy dibangun dengan lingkup lebih sempit daripada mockup acuan.</t>
        </is>
      </c>
      <c r="L56" s="39" t="inlineStr">
        <is>
          <t>Backend + frontend</t>
        </is>
      </c>
      <c r="M56" s="39" t="inlineStr">
        <is>
          <t>2026-08-08</t>
        </is>
      </c>
      <c r="N56" s="28" t="inlineStr">
        <is>
          <t>Terbuka</t>
        </is>
      </c>
      <c r="O56" s="28" t="n"/>
      <c r="P56" s="28" t="n"/>
      <c r="Q56" s="28" t="inlineStr">
        <is>
          <t>Ditambahkan 28 Juli 2026 dari perbandingan fitur mockup v10.0 terhadap daftar endpoint openapi.json Azure.</t>
        </is>
      </c>
    </row>
    <row r="57" ht="26" customHeight="1">
      <c r="A57" s="39" t="inlineStr">
        <is>
          <t>QC-053</t>
        </is>
      </c>
      <c r="B57" s="39" t="inlineStr">
        <is>
          <t>2026-07-28</t>
        </is>
      </c>
      <c r="C57" s="39" t="inlineStr">
        <is>
          <t>Semua agent</t>
        </is>
      </c>
      <c r="D57" s="39" t="inlineStr">
        <is>
          <t>c. Tombol / menu / fungsi</t>
        </is>
      </c>
      <c r="E57" s="39" t="inlineStr">
        <is>
          <t>Fitur hilang</t>
        </is>
      </c>
      <c r="F57" s="39" t="inlineStr">
        <is>
          <t>Tinggi</t>
        </is>
      </c>
      <c r="G57" s="39" t="inlineStr">
        <is>
          <t>Tidak</t>
        </is>
      </c>
      <c r="H57" s="39" t="inlineStr">
        <is>
          <t>Simulator tidak punya pemilih cakupan</t>
        </is>
      </c>
      <c r="I57" s="39" t="inlineStr">
        <is>
          <t>Mockup memungkinkan pengguna berganti antara All lines dan FX lines, sehingga satu tuas bisa diterapkan hanya ke sebagian portofolio. Simulator Azure menerapkan setiap tuas ke semuanya.</t>
        </is>
      </c>
      <c r="J57" s="39" t="inlineStr">
        <is>
          <t>Ada kontrol cakupan, atau pernyataan jelas di layar bahwa tuas berlaku untuk seluruh buku.</t>
        </is>
      </c>
      <c r="K57" s="39" t="inlineStr">
        <is>
          <t>Aplikasi yang di-deploy dibangun dengan lingkup lebih sempit daripada mockup acuan.</t>
        </is>
      </c>
      <c r="L57" s="39" t="inlineStr">
        <is>
          <t>Backend + frontend</t>
        </is>
      </c>
      <c r="M57" s="39" t="inlineStr">
        <is>
          <t>2026-08-11</t>
        </is>
      </c>
      <c r="N57" s="28" t="inlineStr">
        <is>
          <t>Terbuka</t>
        </is>
      </c>
      <c r="O57" s="28" t="n"/>
      <c r="P57" s="28" t="n"/>
      <c r="Q57" s="28" t="inlineStr">
        <is>
          <t>Ditambahkan 28 Juli 2026 dari perbandingan fitur mockup v10.0 terhadap daftar endpoint openapi.json Azure.</t>
        </is>
      </c>
    </row>
    <row r="58" ht="26" customHeight="1">
      <c r="A58" s="39" t="inlineStr">
        <is>
          <t>QC-054</t>
        </is>
      </c>
      <c r="B58" s="39" t="inlineStr">
        <is>
          <t>2026-07-28</t>
        </is>
      </c>
      <c r="C58" s="39" t="inlineStr">
        <is>
          <t>Semua agent</t>
        </is>
      </c>
      <c r="D58" s="39" t="inlineStr">
        <is>
          <t>c. Tombol / menu / fungsi</t>
        </is>
      </c>
      <c r="E58" s="39" t="inlineStr">
        <is>
          <t>Fitur hilang</t>
        </is>
      </c>
      <c r="F58" s="39" t="inlineStr">
        <is>
          <t>Tinggi</t>
        </is>
      </c>
      <c r="G58" s="39" t="inlineStr">
        <is>
          <t>Ya</t>
        </is>
      </c>
      <c r="H58" s="39" t="inlineStr">
        <is>
          <t>KPI tile tidak punya sparkline tren</t>
        </is>
      </c>
      <c r="I58" s="39" t="inlineStr">
        <is>
          <t>Setiap KPI di mockup membawa sparkline lima titik. Objek KPI Azure berisi id, view, label, value, unit, delta, alert, value_num, target_num, progress, dan status, tanpa deret tren.</t>
        </is>
      </c>
      <c r="J58" s="39" t="inlineStr">
        <is>
          <t>Ada deret tren pendek di setiap KPI, supaya CFO melihat arahnya tanpa membuka grafik.</t>
        </is>
      </c>
      <c r="K58" s="39" t="inlineStr">
        <is>
          <t>Aplikasi yang di-deploy dibangun dengan lingkup lebih sempit daripada mockup acuan.</t>
        </is>
      </c>
      <c r="L58" s="39" t="inlineStr">
        <is>
          <t>Backend + frontend</t>
        </is>
      </c>
      <c r="M58" s="39" t="inlineStr">
        <is>
          <t>2026-08-08</t>
        </is>
      </c>
      <c r="N58" s="28" t="inlineStr">
        <is>
          <t>Terbuka</t>
        </is>
      </c>
      <c r="O58" s="28" t="n"/>
      <c r="P58" s="28" t="n"/>
      <c r="Q58" s="28" t="inlineStr">
        <is>
          <t>Ditambahkan 28 Juli 2026 dari perbandingan fitur mockup v10.0 terhadap daftar endpoint openapi.json Azure.</t>
        </is>
      </c>
    </row>
    <row r="59" ht="39" customHeight="1">
      <c r="A59" s="39" t="inlineStr">
        <is>
          <t>QC-055</t>
        </is>
      </c>
      <c r="B59" s="39" t="inlineStr">
        <is>
          <t>2026-07-28</t>
        </is>
      </c>
      <c r="C59" s="39" t="inlineStr">
        <is>
          <t>Semua agent</t>
        </is>
      </c>
      <c r="D59" s="39" t="inlineStr">
        <is>
          <t>c. Tombol / menu / fungsi</t>
        </is>
      </c>
      <c r="E59" s="39" t="inlineStr">
        <is>
          <t>Fitur hilang</t>
        </is>
      </c>
      <c r="F59" s="39" t="inlineStr">
        <is>
          <t>Tinggi</t>
        </is>
      </c>
      <c r="G59" s="39" t="inlineStr">
        <is>
          <t>Ya</t>
        </is>
      </c>
      <c r="H59" s="39" t="inlineStr">
        <is>
          <t>Agentic Action tidak membawa tingkat keyakinan</t>
        </is>
      </c>
      <c r="I59" s="39" t="inlineStr">
        <is>
          <t>Mockup memberi label pada setiap rekomendasi, misalnya 'High confidence' atau 'Medium, customer must agree'. Objek action Azure berisi id, action, agent, routes, alert_id, status, spec, impact, simulation_summary, dan created_at, tanpa field keyakinan.</t>
        </is>
      </c>
      <c r="J59" s="39" t="inlineStr">
        <is>
          <t>Ada tingkat keyakinan beserta dasarnya di setiap aksi. CFO tidak akan menyetujui rekomendasi yang tidak mau menyebut seberapa yakin dirinya.</t>
        </is>
      </c>
      <c r="K59" s="39" t="inlineStr">
        <is>
          <t>Aplikasi yang di-deploy dibangun dengan lingkup lebih sempit daripada mockup acuan.</t>
        </is>
      </c>
      <c r="L59" s="39" t="inlineStr">
        <is>
          <t>Backend</t>
        </is>
      </c>
      <c r="M59" s="39" t="inlineStr">
        <is>
          <t>2026-08-08</t>
        </is>
      </c>
      <c r="N59" s="28" t="inlineStr">
        <is>
          <t>Terbuka</t>
        </is>
      </c>
      <c r="O59" s="28" t="n"/>
      <c r="P59" s="28" t="n"/>
      <c r="Q59" s="28" t="inlineStr">
        <is>
          <t>Ditambahkan 28 Juli 2026 dari perbandingan fitur mockup v10.0 terhadap daftar endpoint openapi.json Azure.</t>
        </is>
      </c>
    </row>
    <row r="60" ht="39" customHeight="1">
      <c r="A60" s="39" t="inlineStr">
        <is>
          <t>QC-056</t>
        </is>
      </c>
      <c r="B60" s="39" t="inlineStr">
        <is>
          <t>2026-07-28</t>
        </is>
      </c>
      <c r="C60" s="39" t="inlineStr">
        <is>
          <t>Semua agent</t>
        </is>
      </c>
      <c r="D60" s="39" t="inlineStr">
        <is>
          <t>c. Tombol / menu / fungsi</t>
        </is>
      </c>
      <c r="E60" s="39" t="inlineStr">
        <is>
          <t>Fitur hilang</t>
        </is>
      </c>
      <c r="F60" s="39" t="inlineStr">
        <is>
          <t>Tinggi</t>
        </is>
      </c>
      <c r="G60" s="39" t="inlineStr">
        <is>
          <t>Ya</t>
        </is>
      </c>
      <c r="H60" s="39" t="inlineStr">
        <is>
          <t>Tidak ada tampilan rantai saat aksi dieksekusi</t>
        </is>
      </c>
      <c r="I60" s="39" t="inlineStr">
        <is>
          <t>Mockup menganimasikan rutenya, memperlihatkan setiap penerima mengambil tugasnya bergantian. Aplikasi Azure hanya punya endpoint approve yang mengembalikan status, tanpa apa pun untuk dilihat.</t>
        </is>
      </c>
      <c r="J60" s="39" t="inlineStr">
        <is>
          <t>Ada jejak eksekusi yang terlihat melintasi para penerima. Ini momen agentic terkuat dalam demo, dan saat ini tidak punya visual sama sekali.</t>
        </is>
      </c>
      <c r="K60" s="39" t="inlineStr">
        <is>
          <t>Aplikasi yang di-deploy dibangun dengan lingkup lebih sempit daripada mockup acuan.</t>
        </is>
      </c>
      <c r="L60" s="39" t="inlineStr">
        <is>
          <t>Frontend</t>
        </is>
      </c>
      <c r="M60" s="39" t="inlineStr">
        <is>
          <t>2026-08-08</t>
        </is>
      </c>
      <c r="N60" s="28" t="inlineStr">
        <is>
          <t>Terbuka</t>
        </is>
      </c>
      <c r="O60" s="28" t="n"/>
      <c r="P60" s="28" t="n"/>
      <c r="Q60" s="28" t="inlineStr">
        <is>
          <t>Ditambahkan 28 Juli 2026 dari perbandingan fitur mockup v10.0 terhadap daftar endpoint openapi.json Azure.</t>
        </is>
      </c>
    </row>
    <row r="61" ht="39" customHeight="1">
      <c r="A61" s="39" t="inlineStr">
        <is>
          <t>QC-057</t>
        </is>
      </c>
      <c r="B61" s="39" t="inlineStr">
        <is>
          <t>2026-07-28</t>
        </is>
      </c>
      <c r="C61" s="39" t="inlineStr">
        <is>
          <t>Semua agent</t>
        </is>
      </c>
      <c r="D61" s="39" t="inlineStr">
        <is>
          <t>c. Tombol / menu / fungsi</t>
        </is>
      </c>
      <c r="E61" s="39" t="inlineStr">
        <is>
          <t>Fitur hilang</t>
        </is>
      </c>
      <c r="F61" s="39" t="inlineStr">
        <is>
          <t>Tinggi</t>
        </is>
      </c>
      <c r="G61" s="39" t="inlineStr">
        <is>
          <t>Ya</t>
        </is>
      </c>
      <c r="H61" s="39" t="inlineStr">
        <is>
          <t>Tidak ada umpan notifikasi status</t>
        </is>
      </c>
      <c r="I61" s="39" t="inlineStr">
        <is>
          <t>Mockup punya lonceng berisi umpan langsung tentang apa yang dikerjakan agent dan apa yang menunggu persetujuan, ditambah pop-up toast. Azure punya alerts, yang isinya temuan, bukan aktivitas. Tidak ada endpoint untuk aktivitas agent.</t>
        </is>
      </c>
      <c r="J61" s="39" t="inlineStr">
        <is>
          <t>Ada umpan aktivitas terpisah dari alert, menampilkan apa yang sudah dieksekusi agent dan kapan.</t>
        </is>
      </c>
      <c r="K61" s="39" t="inlineStr">
        <is>
          <t>Aplikasi yang di-deploy dibangun dengan lingkup lebih sempit daripada mockup acuan.</t>
        </is>
      </c>
      <c r="L61" s="39" t="inlineStr">
        <is>
          <t>Backend + frontend</t>
        </is>
      </c>
      <c r="M61" s="39" t="inlineStr">
        <is>
          <t>2026-08-11</t>
        </is>
      </c>
      <c r="N61" s="28" t="inlineStr">
        <is>
          <t>Terbuka</t>
        </is>
      </c>
      <c r="O61" s="28" t="n"/>
      <c r="P61" s="28" t="n"/>
      <c r="Q61" s="28" t="inlineStr">
        <is>
          <t>Ditambahkan 28 Juli 2026 dari perbandingan fitur mockup v10.0 terhadap daftar endpoint openapi.json Azure.</t>
        </is>
      </c>
    </row>
    <row r="62" ht="39" customHeight="1">
      <c r="A62" s="39" t="inlineStr">
        <is>
          <t>QC-058</t>
        </is>
      </c>
      <c r="B62" s="39" t="inlineStr">
        <is>
          <t>2026-07-28</t>
        </is>
      </c>
      <c r="C62" s="39" t="inlineStr">
        <is>
          <t>Semua agent</t>
        </is>
      </c>
      <c r="D62" s="39" t="inlineStr">
        <is>
          <t>c. Tombol / menu / fungsi</t>
        </is>
      </c>
      <c r="E62" s="39" t="inlineStr">
        <is>
          <t>Fitur hilang</t>
        </is>
      </c>
      <c r="F62" s="39" t="inlineStr">
        <is>
          <t>Tinggi</t>
        </is>
      </c>
      <c r="G62" s="39" t="inlineStr">
        <is>
          <t>Ya</t>
        </is>
      </c>
      <c r="H62" s="39" t="inlineStr">
        <is>
          <t>Tidak ada pengalih Bahasa Indonesia</t>
        </is>
      </c>
      <c r="I62" s="39" t="inlineStr">
        <is>
          <t>Mockup punya sakelar Bahasa ON. Aplikasi Azure tidak punya parameter bahasa pada endpoint mana pun.</t>
        </is>
      </c>
      <c r="J62" s="39" t="inlineStr">
        <is>
          <t>Ada pengalih bahasa. Audiensnya orang Indonesia, dan kemampuan berpindah ke Bahasa di tengah demo adalah pembeda yang tidak akan ditunjukkan kompetitor.</t>
        </is>
      </c>
      <c r="K62" s="39" t="inlineStr">
        <is>
          <t>Aplikasi yang di-deploy dibangun dengan lingkup lebih sempit daripada mockup acuan.</t>
        </is>
      </c>
      <c r="L62" s="39" t="inlineStr">
        <is>
          <t>Backend + frontend</t>
        </is>
      </c>
      <c r="M62" s="39" t="inlineStr">
        <is>
          <t>2026-08-08</t>
        </is>
      </c>
      <c r="N62" s="28" t="inlineStr">
        <is>
          <t>Terbuka</t>
        </is>
      </c>
      <c r="O62" s="28" t="n"/>
      <c r="P62" s="28" t="n"/>
      <c r="Q62" s="28" t="inlineStr">
        <is>
          <t>Ditambahkan 28 Juli 2026 dari perbandingan fitur mockup v10.0 terhadap daftar endpoint openapi.json Azure.</t>
        </is>
      </c>
    </row>
    <row r="63" ht="39" customHeight="1">
      <c r="A63" s="39" t="inlineStr">
        <is>
          <t>QC-059</t>
        </is>
      </c>
      <c r="B63" s="39" t="inlineStr">
        <is>
          <t>2026-07-28</t>
        </is>
      </c>
      <c r="C63" s="39" t="inlineStr">
        <is>
          <t>Semua agent</t>
        </is>
      </c>
      <c r="D63" s="39" t="inlineStr">
        <is>
          <t>c. Tombol / menu / fungsi</t>
        </is>
      </c>
      <c r="E63" s="39" t="inlineStr">
        <is>
          <t>Fitur hilang</t>
        </is>
      </c>
      <c r="F63" s="39" t="inlineStr">
        <is>
          <t>Tinggi</t>
        </is>
      </c>
      <c r="G63" s="39" t="inlineStr">
        <is>
          <t>Ya</t>
        </is>
      </c>
      <c r="H63" s="39" t="inlineStr">
        <is>
          <t>Tidak ada tombol kembali ke kondisi awal</t>
        </is>
      </c>
      <c r="I63" s="39" t="inlineStr">
        <is>
          <t>Mockup punya tombol Reset yang mengembalikan setiap tuas dan tampilan ke kondisi pembuka. Azure punya DELETE /api/alerts dan POST /api/alerts/populate yang menghapus dan mengisi ulang alert, tetapi tidak ada yang mengembalikan simulator.</t>
        </is>
      </c>
      <c r="J63" s="39" t="inlineStr">
        <is>
          <t>Satu tombol yang mengembalikan seluruh aplikasi ke kondisi pembuka. Tanpa itu Anda tidak bisa merekam beberapa take yang bersih.</t>
        </is>
      </c>
      <c r="K63" s="39" t="inlineStr">
        <is>
          <t>Aplikasi yang di-deploy dibangun dengan lingkup lebih sempit daripada mockup acuan.</t>
        </is>
      </c>
      <c r="L63" s="39" t="inlineStr">
        <is>
          <t>Backend + frontend</t>
        </is>
      </c>
      <c r="M63" s="39" t="inlineStr">
        <is>
          <t>2026-08-04</t>
        </is>
      </c>
      <c r="N63" s="28" t="inlineStr">
        <is>
          <t>Selesai</t>
        </is>
      </c>
      <c r="O63" s="28" t="n"/>
      <c r="P63" s="28" t="n"/>
      <c r="Q63" s="28" t="inlineStr">
        <is>
          <t>Ditambahkan 28 Juli 2026 dari perbandingan fitur mockup v10.0 terhadap daftar endpoint openapi.json Azure.</t>
        </is>
      </c>
    </row>
    <row r="64" ht="39" customHeight="1">
      <c r="A64" s="39" t="inlineStr">
        <is>
          <t>QC-060</t>
        </is>
      </c>
      <c r="B64" s="39" t="inlineStr">
        <is>
          <t>2026-07-28</t>
        </is>
      </c>
      <c r="C64" s="39" t="inlineStr">
        <is>
          <t>Semua agent</t>
        </is>
      </c>
      <c r="D64" s="39" t="inlineStr">
        <is>
          <t>c. Tombol / menu / fungsi</t>
        </is>
      </c>
      <c r="E64" s="39" t="inlineStr">
        <is>
          <t>Fitur hilang</t>
        </is>
      </c>
      <c r="F64" s="39" t="inlineStr">
        <is>
          <t>Sedang</t>
        </is>
      </c>
      <c r="G64" s="39" t="inlineStr">
        <is>
          <t>Tidak</t>
        </is>
      </c>
      <c r="H64" s="39" t="inlineStr">
        <is>
          <t>Tidak ada alur hitung dengan parameter sendiri</t>
        </is>
      </c>
      <c r="I64" s="39" t="inlineStr">
        <is>
          <t>Mockup punya 'Calculate exactly with my parameters', tempat CFO memasukkan asumsinya sendiri lalu agent menghitung ulang dan menunjukkan langkahnya. Azure punya chat dan endpoint recalculate, tetapi tidak ada alur yang menyatukan keduanya.</t>
        </is>
      </c>
      <c r="J64" s="39" t="inlineStr">
        <is>
          <t>Ada jalur dari asumsi yang diberikan CFO langsung menuju jawaban yang dihitung ulang dan diperlihatkan langkahnya.</t>
        </is>
      </c>
      <c r="K64" s="39" t="inlineStr">
        <is>
          <t>Aplikasi yang di-deploy dibangun dengan lingkup lebih sempit daripada mockup acuan.</t>
        </is>
      </c>
      <c r="L64" s="39" t="inlineStr">
        <is>
          <t>Backend + frontend</t>
        </is>
      </c>
      <c r="M64" s="39" t="inlineStr">
        <is>
          <t>2026-08-11</t>
        </is>
      </c>
      <c r="N64" s="28" t="inlineStr">
        <is>
          <t>Terbuka</t>
        </is>
      </c>
      <c r="O64" s="28" t="n"/>
      <c r="P64" s="28" t="n"/>
      <c r="Q64" s="28" t="inlineStr">
        <is>
          <t>Ditambahkan 28 Juli 2026 dari perbandingan fitur mockup v10.0 terhadap daftar endpoint openapi.json Azure.</t>
        </is>
      </c>
    </row>
    <row r="65" ht="39" customHeight="1">
      <c r="A65" s="39" t="inlineStr">
        <is>
          <t>QC-061</t>
        </is>
      </c>
      <c r="B65" s="39" t="inlineStr">
        <is>
          <t>2026-07-28</t>
        </is>
      </c>
      <c r="C65" s="39" t="inlineStr">
        <is>
          <t>Semua agent</t>
        </is>
      </c>
      <c r="D65" s="39" t="inlineStr">
        <is>
          <t>c. Tombol / menu / fungsi</t>
        </is>
      </c>
      <c r="E65" s="39" t="inlineStr">
        <is>
          <t>Fitur hilang</t>
        </is>
      </c>
      <c r="F65" s="39" t="inlineStr">
        <is>
          <t>Sedang</t>
        </is>
      </c>
      <c r="G65" s="39" t="inlineStr">
        <is>
          <t>Tidak</t>
        </is>
      </c>
      <c r="H65" s="39" t="inlineStr">
        <is>
          <t>Kartu next best action tidak ada di dashboard</t>
        </is>
      </c>
      <c r="I65" s="39" t="inlineStr">
        <is>
          <t>Mockup menaruh dua kartu next best action di bagian bawah setiap tampilan agent, masing-masing bisa dieksekusi dengan satu klik. Di Azure, aksi berada di daftar terpisah dan tidak dimunculkan di sebelah grafik yang memicunya.</t>
        </is>
      </c>
      <c r="J65" s="39" t="inlineStr">
        <is>
          <t>Ada satu atau dua next best action di dashboard itu sendiri, bersebelahan dengan buktinya.</t>
        </is>
      </c>
      <c r="K65" s="39" t="inlineStr">
        <is>
          <t>Aplikasi yang di-deploy dibangun dengan lingkup lebih sempit daripada mockup acuan.</t>
        </is>
      </c>
      <c r="L65" s="39" t="inlineStr">
        <is>
          <t>Frontend</t>
        </is>
      </c>
      <c r="M65" s="39" t="inlineStr">
        <is>
          <t>2026-08-11</t>
        </is>
      </c>
      <c r="N65" s="28" t="inlineStr">
        <is>
          <t>Terbuka</t>
        </is>
      </c>
      <c r="O65" s="28" t="n"/>
      <c r="P65" s="28" t="n"/>
      <c r="Q65" s="28" t="inlineStr">
        <is>
          <t>Ditambahkan 28 Juli 2026 dari perbandingan fitur mockup v10.0 terhadap daftar endpoint openapi.json Azure.</t>
        </is>
      </c>
    </row>
    <row r="66" ht="39" customHeight="1">
      <c r="A66" s="39" t="inlineStr">
        <is>
          <t>QC-062</t>
        </is>
      </c>
      <c r="B66" s="39" t="inlineStr">
        <is>
          <t>2026-07-28</t>
        </is>
      </c>
      <c r="C66" s="39" t="inlineStr">
        <is>
          <t>Semua agent</t>
        </is>
      </c>
      <c r="D66" s="39" t="inlineStr">
        <is>
          <t>c. Tombol / menu / fungsi</t>
        </is>
      </c>
      <c r="E66" s="39" t="inlineStr">
        <is>
          <t>Fitur hilang</t>
        </is>
      </c>
      <c r="F66" s="39" t="inlineStr">
        <is>
          <t>Sedang</t>
        </is>
      </c>
      <c r="G66" s="39" t="inlineStr">
        <is>
          <t>Tidak</t>
        </is>
      </c>
      <c r="H66" s="39" t="inlineStr">
        <is>
          <t>Belum bisa dipastikan apakah chat bisa menampilkan grafik dan tabel</t>
        </is>
      </c>
      <c r="I66" s="39" t="inlineStr">
        <is>
          <t>Mockup menjawab CFO challenge dengan grafik yang dirender ditambah tabel dan lencana keyakinan. Endpoint chat Azure hanya POST dan tidak bisa diuji dari review read-only, jadi status ini belum diketahui, bukan dipastikan hilang.</t>
        </is>
      </c>
      <c r="J66" s="39" t="inlineStr">
        <is>
          <t>Konfirmasi lewat uji manual MT-019. Kalau chat hanya mengembalikan teks, ini menjadi kesenjangan nyata.</t>
        </is>
      </c>
      <c r="K66" s="39" t="inlineStr">
        <is>
          <t>Aplikasi yang di-deploy dibangun dengan lingkup lebih sempit daripada mockup acuan.</t>
        </is>
      </c>
      <c r="L66" s="39" t="inlineStr">
        <is>
          <t>Pemilik demo</t>
        </is>
      </c>
      <c r="M66" s="39" t="inlineStr">
        <is>
          <t>2026-08-04</t>
        </is>
      </c>
      <c r="N66" s="28" t="inlineStr">
        <is>
          <t>Selesai</t>
        </is>
      </c>
      <c r="O66" s="28" t="n"/>
      <c r="P66" s="28" t="n"/>
      <c r="Q66" s="28" t="inlineStr">
        <is>
          <t>Ditambahkan 28 Juli 2026 dari perbandingan fitur mockup v10.0 terhadap daftar endpoint openapi.json Azure.</t>
        </is>
      </c>
    </row>
  </sheetData>
  <autoFilter ref="A4:Q66"/>
  <mergeCells count="2">
    <mergeCell ref="A1:I1"/>
    <mergeCell ref="A2:I2"/>
  </mergeCells>
  <conditionalFormatting sqref="F5:F51">
    <cfRule type="cellIs" priority="4" operator="equal" dxfId="52">
      <formula>"Kritis"</formula>
    </cfRule>
    <cfRule type="cellIs" priority="5" operator="equal" dxfId="47">
      <formula>"Tinggi"</formula>
    </cfRule>
    <cfRule type="cellIs" priority="6" operator="equal" dxfId="64">
      <formula>"Sedang"</formula>
    </cfRule>
  </conditionalFormatting>
  <conditionalFormatting sqref="G5:G51">
    <cfRule type="cellIs" priority="7" operator="equal" dxfId="45">
      <formula>"Ya"</formula>
    </cfRule>
  </conditionalFormatting>
  <conditionalFormatting sqref="N5:N51">
    <cfRule type="cellIs" priority="8" operator="equal" dxfId="46">
      <formula>"Selesai"</formula>
    </cfRule>
    <cfRule type="cellIs" priority="9" operator="equal" dxfId="59">
      <formula>"Uji ulang lulus"</formula>
    </cfRule>
  </conditionalFormatting>
  <conditionalFormatting sqref="N53:N66">
    <cfRule type="cellIs" priority="1" operator="equal" dxfId="46">
      <formula>"Selesai"</formula>
    </cfRule>
    <cfRule type="cellIs" priority="2" operator="equal" dxfId="59">
      <formula>"Uji ulang lulus"</formula>
    </cfRule>
  </conditionalFormatting>
  <dataValidations count="2">
    <dataValidation sqref="N5:N66" showDropDown="0" showInputMessage="0" showErrorMessage="0" allowBlank="1" type="list">
      <formula1>"Terbuka,Sedang dikerjakan,Sudah diperbaiki - menunggu uji ulang,Uji ulang lulus,Selesai,Ditunda,Bukan cacat"</formula1>
      <formula2>0</formula2>
    </dataValidation>
    <dataValidation sqref="P5:P51" showDropDown="0" showInputMessage="0" showErrorMessage="0" allowBlank="1" type="list">
      <formula1>"Lulus,Gagal,Sebagian,Belum diuji"</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L35"/>
  <sheetViews>
    <sheetView zoomScaleNormal="100" workbookViewId="0">
      <pane xSplit="3" ySplit="4" topLeftCell="D5" activePane="bottomRight" state="frozen"/>
      <selection pane="topRight" activeCell="D1" sqref="D1"/>
      <selection pane="bottomLeft" activeCell="A5" sqref="A5"/>
      <selection pane="bottomRight" activeCell="A1" sqref="A1"/>
    </sheetView>
  </sheetViews>
  <sheetFormatPr baseColWidth="8" defaultColWidth="8.7265625" defaultRowHeight="14.5"/>
  <cols>
    <col width="9" customWidth="1" min="1" max="1"/>
    <col width="13" customWidth="1" min="2" max="2"/>
    <col width="12" customWidth="1" min="3" max="3"/>
    <col width="26" customWidth="1" min="4" max="4"/>
    <col width="64" customWidth="1" min="5" max="6"/>
    <col width="11" customWidth="1" min="7" max="7"/>
    <col width="13" customWidth="1" min="8" max="8"/>
    <col width="12" customWidth="1" min="9" max="11"/>
    <col width="26" customWidth="1" min="12" max="12"/>
  </cols>
  <sheetData>
    <row r="1" ht="18" customHeight="1">
      <c r="A1" s="1" t="inlineStr">
        <is>
          <t>Manual test checklist - things that cannot be tested from outside the app</t>
        </is>
      </c>
    </row>
    <row r="2" ht="15" customHeight="1">
      <c r="A2" s="2" t="inlineStr">
        <is>
          <t>Run these against the live app and fill the yellow columns. Anything that fails becomes a new row in 01_Findings.</t>
        </is>
      </c>
    </row>
    <row r="4" ht="15" customHeight="1">
      <c r="A4" s="6" t="inlineStr">
        <is>
          <t>ID</t>
        </is>
      </c>
      <c r="B4" s="6" t="inlineStr">
        <is>
          <t>Area</t>
        </is>
      </c>
      <c r="C4" s="6" t="inlineStr">
        <is>
          <t>Agent</t>
        </is>
      </c>
      <c r="D4" s="6" t="inlineStr">
        <is>
          <t>Test</t>
        </is>
      </c>
      <c r="E4" s="6" t="inlineStr">
        <is>
          <t>Steps</t>
        </is>
      </c>
      <c r="F4" s="6" t="inlineStr">
        <is>
          <t>Expected result</t>
        </is>
      </c>
      <c r="G4" s="6" t="inlineStr">
        <is>
          <t>Priority</t>
        </is>
      </c>
      <c r="H4" s="6" t="inlineStr">
        <is>
          <t>Tester</t>
        </is>
      </c>
      <c r="I4" s="6" t="inlineStr">
        <is>
          <t>Test date</t>
        </is>
      </c>
      <c r="J4" s="6" t="inlineStr">
        <is>
          <t>Result</t>
        </is>
      </c>
      <c r="K4" s="6" t="inlineStr">
        <is>
          <t>Defect ID</t>
        </is>
      </c>
      <c r="L4" s="6" t="inlineStr">
        <is>
          <t>Notes</t>
        </is>
      </c>
    </row>
    <row r="5" ht="55.5" customHeight="1">
      <c r="A5" s="5" t="inlineStr">
        <is>
          <t>MT-001</t>
        </is>
      </c>
      <c r="B5" s="5" t="inlineStr">
        <is>
          <t>Navigation</t>
        </is>
      </c>
      <c r="C5" s="5" t="inlineStr">
        <is>
          <t>All</t>
        </is>
      </c>
      <c r="D5" s="5" t="inlineStr">
        <is>
          <t>Agent switcher</t>
        </is>
      </c>
      <c r="E5" s="5" t="inlineStr">
        <is>
          <t>Click each of the four agents in turn: Finance, Leakage, Collection, Treasury.</t>
        </is>
      </c>
      <c r="F5" s="5" t="inlineStr">
        <is>
          <t>Each loads within 3 seconds, the KPI row changes, and no chart is blank.</t>
        </is>
      </c>
      <c r="G5" s="5" t="inlineStr">
        <is>
          <t>Critical</t>
        </is>
      </c>
      <c r="H5" s="7" t="n"/>
      <c r="I5" s="7" t="n"/>
      <c r="J5" s="7" t="inlineStr">
        <is>
          <t>Not run</t>
        </is>
      </c>
      <c r="K5" s="7" t="n"/>
      <c r="L5" s="7" t="inlineStr">
        <is>
          <t>30 Jul 2026: the blank Leakage charts that caused this Partial are fixed (QC-001 / QC-024). Ready to re-run.</t>
        </is>
      </c>
    </row>
    <row r="6" ht="55.5" customHeight="1">
      <c r="A6" s="5" t="inlineStr">
        <is>
          <t>MT-002</t>
        </is>
      </c>
      <c r="B6" s="5" t="inlineStr">
        <is>
          <t>Navigation</t>
        </is>
      </c>
      <c r="C6" s="5" t="inlineStr">
        <is>
          <t>All</t>
        </is>
      </c>
      <c r="D6" s="5" t="inlineStr">
        <is>
          <t>View tabs</t>
        </is>
      </c>
      <c r="E6" s="5" t="inlineStr">
        <is>
          <t>Click every view tab inside each agent (Finance: drivers, revenue, product, fx, opex. Collection: aging, worklist, prize, tiers, options. Leakage: categories, blockvs, recovery, worklist, vendors. Treasury: forecast, exposure, fx, options).</t>
        </is>
      </c>
      <c r="F6" s="5" t="inlineStr">
        <is>
          <t>All 19 views render with data. Note any that are empty or throw.</t>
        </is>
      </c>
      <c r="G6" s="5" t="inlineStr">
        <is>
          <t>Critical</t>
        </is>
      </c>
      <c r="H6" s="7" t="n"/>
      <c r="I6" s="7" t="n"/>
      <c r="J6" s="7" t="inlineStr">
        <is>
          <t>Not run</t>
        </is>
      </c>
      <c r="K6" s="7" t="n"/>
      <c r="L6" s="7" t="inlineStr">
        <is>
          <t>30 Jul 2026: the blank Leakage charts that caused this Partial are fixed (QC-001 / QC-024). Ready to re-run.</t>
        </is>
      </c>
    </row>
    <row r="7" ht="55.5" customHeight="1">
      <c r="A7" s="5" t="inlineStr">
        <is>
          <t>MT-003</t>
        </is>
      </c>
      <c r="B7" s="5" t="inlineStr">
        <is>
          <t>Navigation</t>
        </is>
      </c>
      <c r="C7" s="5" t="inlineStr">
        <is>
          <t>All</t>
        </is>
      </c>
      <c r="D7" s="5" t="inlineStr">
        <is>
          <t>Deep link and refresh</t>
        </is>
      </c>
      <c r="E7" s="5" t="inlineStr">
        <is>
          <t>Refresh the browser on a non-default view.</t>
        </is>
      </c>
      <c r="F7" s="5" t="inlineStr">
        <is>
          <t>The app returns to a working state rather than an error.</t>
        </is>
      </c>
      <c r="G7" s="5" t="inlineStr">
        <is>
          <t>Medium</t>
        </is>
      </c>
      <c r="H7" s="7" t="n"/>
      <c r="I7" s="7" t="n"/>
      <c r="J7" s="7" t="inlineStr">
        <is>
          <t>Not run</t>
        </is>
      </c>
      <c r="K7" s="7" t="n"/>
      <c r="L7" s="7" t="n"/>
    </row>
    <row r="8" ht="55.5" customHeight="1">
      <c r="A8" s="5" t="inlineStr">
        <is>
          <t>MT-004</t>
        </is>
      </c>
      <c r="B8" s="5" t="inlineStr">
        <is>
          <t>Buttons</t>
        </is>
      </c>
      <c r="C8" s="5" t="inlineStr">
        <is>
          <t>All</t>
        </is>
      </c>
      <c r="D8" s="5" t="inlineStr">
        <is>
          <t>KPI tile click</t>
        </is>
      </c>
      <c r="E8" s="5" t="inlineStr">
        <is>
          <t>Click each KPI tile.</t>
        </is>
      </c>
      <c r="F8" s="5" t="inlineStr">
        <is>
          <t>The matching view opens. KPI 'view' field suggests this is intended: margin and ebitda open drivers, revenue opens revenue, gm opens product, opex opens opex.</t>
        </is>
      </c>
      <c r="G8" s="5" t="inlineStr">
        <is>
          <t>High</t>
        </is>
      </c>
      <c r="H8" s="7" t="n"/>
      <c r="I8" s="7" t="n"/>
      <c r="J8" s="7" t="inlineStr">
        <is>
          <t>Not run</t>
        </is>
      </c>
      <c r="K8" s="7" t="n"/>
      <c r="L8" s="7" t="n"/>
    </row>
    <row r="9" ht="55.5" customHeight="1">
      <c r="A9" s="5" t="inlineStr">
        <is>
          <t>MT-005</t>
        </is>
      </c>
      <c r="B9" s="5" t="inlineStr">
        <is>
          <t>Buttons</t>
        </is>
      </c>
      <c r="C9" s="5" t="inlineStr">
        <is>
          <t>All</t>
        </is>
      </c>
      <c r="D9" s="5" t="inlineStr">
        <is>
          <t>Explain this KPI</t>
        </is>
      </c>
      <c r="E9" s="5" t="inlineStr">
        <is>
          <t>Use the KPI explain action.</t>
        </is>
      </c>
      <c r="F9" s="5" t="inlineStr">
        <is>
          <t>A response referencing the correct KPI name and current value. Conversation titles show this feature exists.</t>
        </is>
      </c>
      <c r="G9" s="5" t="inlineStr">
        <is>
          <t>High</t>
        </is>
      </c>
      <c r="H9" s="7" t="n"/>
      <c r="I9" s="7" t="n"/>
      <c r="J9" s="7" t="inlineStr">
        <is>
          <t>Not run</t>
        </is>
      </c>
      <c r="K9" s="7" t="n"/>
      <c r="L9" s="7" t="n"/>
    </row>
    <row r="10" ht="55.5" customHeight="1">
      <c r="A10" s="5" t="inlineStr">
        <is>
          <t>MT-006</t>
        </is>
      </c>
      <c r="B10" s="5" t="inlineStr">
        <is>
          <t>Simulator</t>
        </is>
      </c>
      <c r="C10" s="5" t="inlineStr">
        <is>
          <t>Finance</t>
        </is>
      </c>
      <c r="D10" s="5" t="inlineStr">
        <is>
          <t>Five sliders</t>
        </is>
      </c>
      <c r="E10" s="5" t="inlineStr">
        <is>
          <t>Move Price, Cost, Volume, FX and Opex one at a time from the default of 0.</t>
        </is>
      </c>
      <c r="F10" s="5" t="inlineStr">
        <is>
          <t>Gauge and scenario figures update on every move. Record the margin at price +5% and confirm it is arithmetically sensible against baseline revenue 46,510 and GM 11,780.</t>
        </is>
      </c>
      <c r="G10" s="5" t="inlineStr">
        <is>
          <t>Critical</t>
        </is>
      </c>
      <c r="H10" s="7" t="n"/>
      <c r="I10" s="7" t="n"/>
      <c r="J10" s="7" t="inlineStr">
        <is>
          <t>Not run</t>
        </is>
      </c>
      <c r="K10" s="7" t="n"/>
      <c r="L10" s="7" t="n"/>
    </row>
    <row r="11" ht="55.5" customHeight="1">
      <c r="A11" s="5" t="inlineStr">
        <is>
          <t>MT-007</t>
        </is>
      </c>
      <c r="B11" s="5" t="inlineStr">
        <is>
          <t>Simulator</t>
        </is>
      </c>
      <c r="C11" s="5" t="inlineStr">
        <is>
          <t>Finance</t>
        </is>
      </c>
      <c r="D11" s="5" t="inlineStr">
        <is>
          <t>Scope selector</t>
        </is>
      </c>
      <c r="E11" s="5" t="inlineStr">
        <is>
          <t>Switch scope between 'all' and 'fx'.</t>
        </is>
      </c>
      <c r="F11" s="5" t="inlineStr">
        <is>
          <t>The scope actually changes which levers apply. Confirm it is not cosmetic.</t>
        </is>
      </c>
      <c r="G11" s="5" t="inlineStr">
        <is>
          <t>High</t>
        </is>
      </c>
      <c r="H11" s="7" t="n"/>
      <c r="I11" s="7" t="n"/>
      <c r="J11" s="7" t="inlineStr">
        <is>
          <t>Not run</t>
        </is>
      </c>
      <c r="K11" s="7" t="n"/>
      <c r="L11" s="7" t="n"/>
    </row>
    <row r="12" ht="55.5" customHeight="1">
      <c r="A12" s="5" t="inlineStr">
        <is>
          <t>MT-008</t>
        </is>
      </c>
      <c r="B12" s="5" t="inlineStr">
        <is>
          <t>Simulator</t>
        </is>
      </c>
      <c r="C12" s="5" t="inlineStr">
        <is>
          <t>Finance</t>
        </is>
      </c>
      <c r="D12" s="5" t="inlineStr">
        <is>
          <t>Reset</t>
        </is>
      </c>
      <c r="E12" s="5" t="inlineStr">
        <is>
          <t>Return all sliders to 0.</t>
        </is>
      </c>
      <c r="F12" s="5" t="inlineStr">
        <is>
          <t>Every figure returns exactly to the baseline: EBITDA 4,300, margin 9.2%.</t>
        </is>
      </c>
      <c r="G12" s="5" t="inlineStr">
        <is>
          <t>Critical</t>
        </is>
      </c>
      <c r="H12" s="7" t="n"/>
      <c r="I12" s="7" t="n"/>
      <c r="J12" s="7" t="inlineStr">
        <is>
          <t>Not run</t>
        </is>
      </c>
      <c r="K12" s="7" t="n"/>
      <c r="L12" s="7" t="n"/>
    </row>
    <row r="13" ht="55.5" customHeight="1">
      <c r="A13" s="5" t="inlineStr">
        <is>
          <t>MT-009</t>
        </is>
      </c>
      <c r="B13" s="5" t="inlineStr">
        <is>
          <t>Simulator</t>
        </is>
      </c>
      <c r="C13" s="5" t="inlineStr">
        <is>
          <t>Collection</t>
        </is>
      </c>
      <c r="D13" s="5" t="inlineStr">
        <is>
          <t>Pull and discount</t>
        </is>
      </c>
      <c r="E13" s="5" t="inlineStr">
        <is>
          <t>Set Pull from customer to 10,000 and Discount to 1%.</t>
        </is>
      </c>
      <c r="F13" s="5" t="inlineStr">
        <is>
          <t>DSO should fall from 57.36 to about 52.14 (10,000 / 1,917.8 = 5.21 days). Confirm the discount cost is deducted somewhere.</t>
        </is>
      </c>
      <c r="G13" s="5" t="inlineStr">
        <is>
          <t>Critical</t>
        </is>
      </c>
      <c r="H13" s="7" t="n"/>
      <c r="I13" s="7" t="n"/>
      <c r="J13" s="7" t="inlineStr">
        <is>
          <t>Not run</t>
        </is>
      </c>
      <c r="K13" s="7" t="n"/>
      <c r="L13" s="7" t="n"/>
    </row>
    <row r="14" ht="55.5" customHeight="1">
      <c r="A14" s="5" t="inlineStr">
        <is>
          <t>MT-010</t>
        </is>
      </c>
      <c r="B14" s="5" t="inlineStr">
        <is>
          <t>Simulator</t>
        </is>
      </c>
      <c r="C14" s="5" t="inlineStr">
        <is>
          <t>Collection</t>
        </is>
      </c>
      <c r="D14" s="5" t="inlineStr">
        <is>
          <t>Maximum boundary</t>
        </is>
      </c>
      <c r="E14" s="5" t="inlineStr">
        <is>
          <t>Set Pull to the maximum of 10,000 and back to 0.</t>
        </is>
      </c>
      <c r="F14" s="5" t="inlineStr">
        <is>
          <t>No negative DSO, no error, clean return to 57.36.</t>
        </is>
      </c>
      <c r="G14" s="5" t="inlineStr">
        <is>
          <t>High</t>
        </is>
      </c>
      <c r="H14" s="7" t="n"/>
      <c r="I14" s="7" t="n"/>
      <c r="J14" s="7" t="inlineStr">
        <is>
          <t>Not run</t>
        </is>
      </c>
      <c r="K14" s="7" t="n"/>
      <c r="L14" s="7" t="n"/>
    </row>
    <row r="15" ht="55.5" customHeight="1">
      <c r="A15" s="5" t="inlineStr">
        <is>
          <t>MT-011</t>
        </is>
      </c>
      <c r="B15" s="5" t="inlineStr">
        <is>
          <t>Simulator</t>
        </is>
      </c>
      <c r="C15" s="5" t="inlineStr">
        <is>
          <t>Treasury</t>
        </is>
      </c>
      <c r="D15" s="5" t="inlineStr">
        <is>
          <t>Four levers</t>
        </is>
      </c>
      <c r="E15" s="5" t="inlineStr">
        <is>
          <t>Move accelerate collection, defer payment, credit line draw and hedge.</t>
        </is>
      </c>
      <c r="F15" s="5" t="inlineStr">
        <is>
          <t>Week 5 closing cash and the coverage gauge both respond. Deferring a payment should show where the money moves to, not only that Week 5 improves.</t>
        </is>
      </c>
      <c r="G15" s="5" t="inlineStr">
        <is>
          <t>Critical</t>
        </is>
      </c>
      <c r="H15" s="7" t="n"/>
      <c r="I15" s="7" t="n"/>
      <c r="J15" s="7" t="inlineStr">
        <is>
          <t>Not run</t>
        </is>
      </c>
      <c r="K15" s="7" t="n"/>
      <c r="L15" s="7" t="n"/>
    </row>
    <row r="16" ht="55.5" customHeight="1">
      <c r="A16" s="5" t="inlineStr">
        <is>
          <t>MT-012</t>
        </is>
      </c>
      <c r="B16" s="5" t="inlineStr">
        <is>
          <t>Simulator</t>
        </is>
      </c>
      <c r="C16" s="5" t="inlineStr">
        <is>
          <t>Treasury</t>
        </is>
      </c>
      <c r="D16" s="5" t="inlineStr">
        <is>
          <t>Defer beyond the trough</t>
        </is>
      </c>
      <c r="E16" s="5" t="inlineStr">
        <is>
          <t>Defer 3,000 from Week 5.</t>
        </is>
      </c>
      <c r="F16" s="5" t="inlineStr">
        <is>
          <t>Check whether Week 6 or Week 7 gets worse. If nothing else changes, the model is only moving one number.</t>
        </is>
      </c>
      <c r="G16" s="5" t="inlineStr">
        <is>
          <t>Critical</t>
        </is>
      </c>
      <c r="H16" s="7" t="n"/>
      <c r="I16" s="7" t="n"/>
      <c r="J16" s="7" t="inlineStr">
        <is>
          <t>Not run</t>
        </is>
      </c>
      <c r="K16" s="7" t="n"/>
      <c r="L16" s="7" t="n"/>
    </row>
    <row r="17" ht="75.75" customHeight="1">
      <c r="A17" s="5" t="inlineStr">
        <is>
          <t>MT-013</t>
        </is>
      </c>
      <c r="B17" s="5" t="inlineStr">
        <is>
          <t>Simulator</t>
        </is>
      </c>
      <c r="C17" s="5" t="inlineStr">
        <is>
          <t>Leakage</t>
        </is>
      </c>
      <c r="D17" s="5" t="inlineStr">
        <is>
          <t>Three levers</t>
        </is>
      </c>
      <c r="E17" s="5" t="inlineStr">
        <is>
          <t>Move Hold amount, Dup recovery % and Overbill rec %.</t>
        </is>
      </c>
      <c r="F17" s="5" t="inlineStr">
        <is>
          <t>Total protected updates. At the defaults it must read 7,557.5, not 7,577.5. Then open the 'Recovery scenario' chart and hover the 'Current 95%' bar: if its tooltip says 7,577.5 while the KPI says 7,558, QC-013 is confirmed.</t>
        </is>
      </c>
      <c r="G17" s="5" t="inlineStr">
        <is>
          <t>High</t>
        </is>
      </c>
      <c r="H17" s="7" t="n"/>
      <c r="I17" s="7" t="n"/>
      <c r="J17" s="7" t="inlineStr">
        <is>
          <t>Not run</t>
        </is>
      </c>
      <c r="K17" s="7" t="n"/>
      <c r="L17" s="7" t="n"/>
    </row>
    <row r="18" ht="55.5" customHeight="1">
      <c r="A18" s="5" t="inlineStr">
        <is>
          <t>MT-014</t>
        </is>
      </c>
      <c r="B18" s="5" t="inlineStr">
        <is>
          <t>Actions</t>
        </is>
      </c>
      <c r="C18" s="5" t="inlineStr">
        <is>
          <t>All</t>
        </is>
      </c>
      <c r="D18" s="5" t="inlineStr">
        <is>
          <t>Approve</t>
        </is>
      </c>
      <c r="E18" s="5" t="inlineStr">
        <is>
          <t>Approve one action.</t>
        </is>
      </c>
      <c r="F18" s="5" t="inlineStr">
        <is>
          <t>Status moves from planned. Confirm what actually changes and whether it can be undone.</t>
        </is>
      </c>
      <c r="G18" s="5" t="inlineStr">
        <is>
          <t>Critical</t>
        </is>
      </c>
      <c r="H18" s="7" t="n"/>
      <c r="I18" s="7" t="n"/>
      <c r="J18" s="7" t="inlineStr">
        <is>
          <t>Not run</t>
        </is>
      </c>
      <c r="K18" s="7" t="n"/>
      <c r="L18" s="7" t="n"/>
    </row>
    <row r="19" ht="55.5" customHeight="1">
      <c r="A19" s="5" t="inlineStr">
        <is>
          <t>MT-015</t>
        </is>
      </c>
      <c r="B19" s="5" t="inlineStr">
        <is>
          <t>Actions</t>
        </is>
      </c>
      <c r="C19" s="5" t="inlineStr">
        <is>
          <t>All</t>
        </is>
      </c>
      <c r="D19" s="5" t="inlineStr">
        <is>
          <t>Simulate</t>
        </is>
      </c>
      <c r="E19" s="5" t="inlineStr">
        <is>
          <t>Run simulate on one action.</t>
        </is>
      </c>
      <c r="F19" s="5" t="inlineStr">
        <is>
          <t>simulation_summary is currently null on all 47 actions. Confirm whether this endpoint produces anything.</t>
        </is>
      </c>
      <c r="G19" s="5" t="inlineStr">
        <is>
          <t>Critical</t>
        </is>
      </c>
      <c r="H19" s="7" t="n"/>
      <c r="I19" s="7" t="n"/>
      <c r="J19" s="7" t="inlineStr">
        <is>
          <t>Not run</t>
        </is>
      </c>
      <c r="K19" s="7" t="n"/>
      <c r="L19" s="7" t="n"/>
    </row>
    <row r="20" ht="55.5" customHeight="1">
      <c r="A20" s="5" t="inlineStr">
        <is>
          <t>MT-016</t>
        </is>
      </c>
      <c r="B20" s="5" t="inlineStr">
        <is>
          <t>Actions</t>
        </is>
      </c>
      <c r="C20" s="5" t="inlineStr">
        <is>
          <t>All</t>
        </is>
      </c>
      <c r="D20" s="5" t="inlineStr">
        <is>
          <t>Routing</t>
        </is>
      </c>
      <c r="E20" s="5" t="inlineStr">
        <is>
          <t>Open an action with multiple routes, for example Treasury Manager, Procurement, A/P.</t>
        </is>
      </c>
      <c r="F20" s="5" t="inlineStr">
        <is>
          <t>Routing is visible and explainable on screen. This is the agentic story for the CFO audience.</t>
        </is>
      </c>
      <c r="G20" s="5" t="inlineStr">
        <is>
          <t>Critical</t>
        </is>
      </c>
      <c r="H20" s="7" t="n"/>
      <c r="I20" s="7" t="n"/>
      <c r="J20" s="7" t="inlineStr">
        <is>
          <t>Not run</t>
        </is>
      </c>
      <c r="K20" s="7" t="n"/>
      <c r="L20" s="7" t="n"/>
    </row>
    <row r="21" ht="55.5" customHeight="1">
      <c r="A21" s="5" t="inlineStr">
        <is>
          <t>MT-017</t>
        </is>
      </c>
      <c r="B21" s="5" t="inlineStr">
        <is>
          <t>Chat</t>
        </is>
      </c>
      <c r="C21" s="5" t="inlineStr">
        <is>
          <t>All</t>
        </is>
      </c>
      <c r="D21" s="5" t="inlineStr">
        <is>
          <t>Starter prompts</t>
        </is>
      </c>
      <c r="E21" s="5" t="inlineStr">
        <is>
          <t>Run all eight starter prompts.</t>
        </is>
      </c>
      <c r="F21" s="5" t="inlineStr">
        <is>
          <t>Answers cite figures that match the dashboard exactly. Log any figure that differs.</t>
        </is>
      </c>
      <c r="G21" s="5" t="inlineStr">
        <is>
          <t>Critical</t>
        </is>
      </c>
      <c r="H21" s="7" t="n"/>
      <c r="I21" s="7" t="n"/>
      <c r="J21" s="7" t="inlineStr">
        <is>
          <t>Not run</t>
        </is>
      </c>
      <c r="K21" s="7" t="n"/>
      <c r="L21" s="7" t="n"/>
    </row>
    <row r="22" ht="55.5" customHeight="1">
      <c r="A22" s="5" t="inlineStr">
        <is>
          <t>MT-018</t>
        </is>
      </c>
      <c r="B22" s="5" t="inlineStr">
        <is>
          <t>Chat</t>
        </is>
      </c>
      <c r="C22" s="5" t="inlineStr">
        <is>
          <t>All</t>
        </is>
      </c>
      <c r="D22" s="5" t="inlineStr">
        <is>
          <t>Cross-agent routing</t>
        </is>
      </c>
      <c r="E22" s="5" t="inlineStr">
        <is>
          <t>Ask 'who should I consult to fix margins' and 'if Collection pulls cash forward, what happens to Week 5'.</t>
        </is>
      </c>
      <c r="F22" s="5" t="inlineStr">
        <is>
          <t>The agent names another agent and hands over. This is the money shot of the demo.</t>
        </is>
      </c>
      <c r="G22" s="5" t="inlineStr">
        <is>
          <t>Critical</t>
        </is>
      </c>
      <c r="H22" s="7" t="n"/>
      <c r="I22" s="7" t="n"/>
      <c r="J22" s="7" t="inlineStr">
        <is>
          <t>Not run</t>
        </is>
      </c>
      <c r="K22" s="7" t="n"/>
      <c r="L22" s="7" t="n"/>
    </row>
    <row r="23" ht="55.5" customHeight="1">
      <c r="A23" s="5" t="inlineStr">
        <is>
          <t>MT-019</t>
        </is>
      </c>
      <c r="B23" s="5" t="inlineStr">
        <is>
          <t>Chat</t>
        </is>
      </c>
      <c r="C23" s="5" t="inlineStr">
        <is>
          <t>All</t>
        </is>
      </c>
      <c r="D23" s="5" t="inlineStr">
        <is>
          <t>Chart on request</t>
        </is>
      </c>
      <c r="E23" s="5" t="inlineStr">
        <is>
          <t>Ask 'show me the EBITDA bridge' and 'show credit ageing as a pie chart'.</t>
        </is>
      </c>
      <c r="F23" s="5" t="inlineStr">
        <is>
          <t>A chart renders inline with the same numbers as the dashboard.</t>
        </is>
      </c>
      <c r="G23" s="5" t="inlineStr">
        <is>
          <t>High</t>
        </is>
      </c>
      <c r="H23" s="7" t="n"/>
      <c r="I23" s="7" t="n"/>
      <c r="J23" s="7" t="inlineStr">
        <is>
          <t>Not run</t>
        </is>
      </c>
      <c r="K23" s="7" t="n"/>
      <c r="L23" s="7" t="n"/>
    </row>
    <row r="24" ht="55.5" customHeight="1">
      <c r="A24" s="5" t="inlineStr">
        <is>
          <t>MT-020</t>
        </is>
      </c>
      <c r="B24" s="5" t="inlineStr">
        <is>
          <t>Chat</t>
        </is>
      </c>
      <c r="C24" s="5" t="inlineStr">
        <is>
          <t>All</t>
        </is>
      </c>
      <c r="D24" s="5" t="inlineStr">
        <is>
          <t>Challenge question</t>
        </is>
      </c>
      <c r="E24" s="5" t="inlineStr">
        <is>
          <t>Ask 'you want me to chase my biggest customer for 10,000 mn, what does that do to the relationship'.</t>
        </is>
      </c>
      <c r="F24" s="5" t="inlineStr">
        <is>
          <t>A considered answer, not a repeat of the worklist. This question is already in the saved history.</t>
        </is>
      </c>
      <c r="G24" s="5" t="inlineStr">
        <is>
          <t>High</t>
        </is>
      </c>
      <c r="H24" s="7" t="n"/>
      <c r="I24" s="7" t="n"/>
      <c r="J24" s="7" t="inlineStr">
        <is>
          <t>Not run</t>
        </is>
      </c>
      <c r="K24" s="7" t="n"/>
      <c r="L24" s="7" t="n"/>
    </row>
    <row r="25" ht="55.5" customHeight="1">
      <c r="A25" s="5" t="inlineStr">
        <is>
          <t>MT-021</t>
        </is>
      </c>
      <c r="B25" s="5" t="inlineStr">
        <is>
          <t>Chat</t>
        </is>
      </c>
      <c r="C25" s="5" t="inlineStr">
        <is>
          <t>All</t>
        </is>
      </c>
      <c r="D25" s="5" t="inlineStr">
        <is>
          <t>Hallucination probe</t>
        </is>
      </c>
      <c r="E25" s="5" t="inlineStr">
        <is>
          <t>Ask about a figure that does not exist, for example 'what was our Q1 2024 EBITDA'.</t>
        </is>
      </c>
      <c r="F25" s="5" t="inlineStr">
        <is>
          <t>The agent says it does not have the data rather than inventing a number.</t>
        </is>
      </c>
      <c r="G25" s="5" t="inlineStr">
        <is>
          <t>Critical</t>
        </is>
      </c>
      <c r="H25" s="7" t="n"/>
      <c r="I25" s="7" t="n"/>
      <c r="J25" s="7" t="inlineStr">
        <is>
          <t>Not run</t>
        </is>
      </c>
      <c r="K25" s="7" t="n"/>
      <c r="L25" s="7" t="n"/>
    </row>
    <row r="26" ht="55.5" customHeight="1">
      <c r="A26" s="5" t="inlineStr">
        <is>
          <t>MT-022</t>
        </is>
      </c>
      <c r="B26" s="5" t="inlineStr">
        <is>
          <t>Chat</t>
        </is>
      </c>
      <c r="C26" s="5" t="inlineStr">
        <is>
          <t>All</t>
        </is>
      </c>
      <c r="D26" s="5" t="inlineStr">
        <is>
          <t>Language</t>
        </is>
      </c>
      <c r="E26" s="5" t="inlineStr">
        <is>
          <t>Ask one question in Bahasa Indonesia.</t>
        </is>
      </c>
      <c r="F26" s="5" t="inlineStr">
        <is>
          <t>Confirm the behaviour before the event so there is no surprise if an attendee tries it.</t>
        </is>
      </c>
      <c r="G26" s="5" t="inlineStr">
        <is>
          <t>Medium</t>
        </is>
      </c>
      <c r="H26" s="7" t="n"/>
      <c r="I26" s="7" t="n"/>
      <c r="J26" s="7" t="inlineStr">
        <is>
          <t>Not run</t>
        </is>
      </c>
      <c r="K26" s="7" t="n"/>
      <c r="L26" s="7" t="n"/>
    </row>
    <row r="27" ht="55.5" customHeight="1">
      <c r="A27" s="5" t="inlineStr">
        <is>
          <t>MT-023</t>
        </is>
      </c>
      <c r="B27" s="5" t="inlineStr">
        <is>
          <t>Chat</t>
        </is>
      </c>
      <c r="C27" s="5" t="inlineStr">
        <is>
          <t>All</t>
        </is>
      </c>
      <c r="D27" s="5" t="inlineStr">
        <is>
          <t>Latency</t>
        </is>
      </c>
      <c r="E27" s="5" t="inlineStr">
        <is>
          <t>Time five responses.</t>
        </is>
      </c>
      <c r="F27" s="5" t="inlineStr">
        <is>
          <t>Under about 8 seconds. Anything slower needs a filler line in the voice over.</t>
        </is>
      </c>
      <c r="G27" s="5" t="inlineStr">
        <is>
          <t>High</t>
        </is>
      </c>
      <c r="H27" s="7" t="n"/>
      <c r="I27" s="7" t="n"/>
      <c r="J27" s="7" t="inlineStr">
        <is>
          <t>Not run</t>
        </is>
      </c>
      <c r="K27" s="7" t="n"/>
      <c r="L27" s="7" t="n"/>
    </row>
    <row r="28" ht="55.5" customHeight="1">
      <c r="A28" s="5" t="inlineStr">
        <is>
          <t>MT-024</t>
        </is>
      </c>
      <c r="B28" s="5" t="inlineStr">
        <is>
          <t>Chat</t>
        </is>
      </c>
      <c r="C28" s="5" t="inlineStr">
        <is>
          <t>All</t>
        </is>
      </c>
      <c r="D28" s="5" t="inlineStr">
        <is>
          <t>History panel</t>
        </is>
      </c>
      <c r="E28" s="5" t="inlineStr">
        <is>
          <t>Open the conversation history.</t>
        </is>
      </c>
      <c r="F28" s="5" t="inlineStr">
        <is>
          <t>Confirm whether the roughly 190 test conversations are visible to the audience. See QC-006.</t>
        </is>
      </c>
      <c r="G28" s="5" t="inlineStr">
        <is>
          <t>Critical</t>
        </is>
      </c>
      <c r="H28" s="7" t="n"/>
      <c r="I28" s="7" t="n"/>
      <c r="J28" s="7" t="inlineStr">
        <is>
          <t>Not run</t>
        </is>
      </c>
      <c r="K28" s="7" t="n"/>
      <c r="L28" s="7" t="n"/>
    </row>
    <row r="29" ht="55.5" customHeight="1">
      <c r="A29" s="5" t="inlineStr">
        <is>
          <t>MT-025</t>
        </is>
      </c>
      <c r="B29" s="5" t="inlineStr">
        <is>
          <t>Data</t>
        </is>
      </c>
      <c r="C29" s="5" t="inlineStr">
        <is>
          <t>All</t>
        </is>
      </c>
      <c r="D29" s="5" t="inlineStr">
        <is>
          <t>Export</t>
        </is>
      </c>
      <c r="E29" s="5" t="inlineStr">
        <is>
          <t>Try any export or download control.</t>
        </is>
      </c>
      <c r="F29" s="5" t="inlineStr">
        <is>
          <t>File opens and matches what is on screen.</t>
        </is>
      </c>
      <c r="G29" s="5" t="inlineStr">
        <is>
          <t>Medium</t>
        </is>
      </c>
      <c r="H29" s="7" t="n"/>
      <c r="I29" s="7" t="n"/>
      <c r="J29" s="7" t="inlineStr">
        <is>
          <t>Not run</t>
        </is>
      </c>
      <c r="K29" s="7" t="n"/>
      <c r="L29" s="7" t="n"/>
    </row>
    <row r="30" ht="55.5" customHeight="1">
      <c r="A30" s="5" t="inlineStr">
        <is>
          <t>MT-026</t>
        </is>
      </c>
      <c r="B30" s="5" t="inlineStr">
        <is>
          <t>Display</t>
        </is>
      </c>
      <c r="C30" s="5" t="inlineStr">
        <is>
          <t>All</t>
        </is>
      </c>
      <c r="D30" s="5" t="inlineStr">
        <is>
          <t>Projector check</t>
        </is>
      </c>
      <c r="E30" s="5" t="inlineStr">
        <is>
          <t>Open the app at 1920x1080 and at the actual event resolution.</t>
        </is>
      </c>
      <c r="F30" s="5" t="inlineStr">
        <is>
          <t>No truncated labels, no overlapping legends, readable from the back of the room.</t>
        </is>
      </c>
      <c r="G30" s="5" t="inlineStr">
        <is>
          <t>Critical</t>
        </is>
      </c>
      <c r="H30" s="7" t="n"/>
      <c r="I30" s="7" t="n"/>
      <c r="J30" s="7" t="inlineStr">
        <is>
          <t>Not run</t>
        </is>
      </c>
      <c r="K30" s="7" t="n"/>
      <c r="L30" s="7" t="n"/>
    </row>
    <row r="31" ht="55.5" customHeight="1">
      <c r="A31" s="5" t="inlineStr">
        <is>
          <t>MT-027</t>
        </is>
      </c>
      <c r="B31" s="5" t="inlineStr">
        <is>
          <t>Display</t>
        </is>
      </c>
      <c r="C31" s="5" t="inlineStr">
        <is>
          <t>All</t>
        </is>
      </c>
      <c r="D31" s="5" t="inlineStr">
        <is>
          <t>Dark or bright room</t>
        </is>
      </c>
      <c r="E31" s="5" t="inlineStr">
        <is>
          <t>View on the event screen with room lighting.</t>
        </is>
      </c>
      <c r="F31" s="5" t="inlineStr">
        <is>
          <t>Chart colours remain distinguishable.</t>
        </is>
      </c>
      <c r="G31" s="5" t="inlineStr">
        <is>
          <t>High</t>
        </is>
      </c>
      <c r="H31" s="7" t="n"/>
      <c r="I31" s="7" t="n"/>
      <c r="J31" s="7" t="inlineStr">
        <is>
          <t>Not run</t>
        </is>
      </c>
      <c r="K31" s="7" t="n"/>
      <c r="L31" s="7" t="n"/>
    </row>
    <row r="32" ht="55.5" customHeight="1">
      <c r="A32" s="5" t="inlineStr">
        <is>
          <t>MT-028</t>
        </is>
      </c>
      <c r="B32" s="5" t="inlineStr">
        <is>
          <t>Display</t>
        </is>
      </c>
      <c r="C32" s="5" t="inlineStr">
        <is>
          <t>All</t>
        </is>
      </c>
      <c r="D32" s="5" t="inlineStr">
        <is>
          <t>Browser zoom</t>
        </is>
      </c>
      <c r="E32" s="5" t="inlineStr">
        <is>
          <t>Test at 80%, 100% and 125%.</t>
        </is>
      </c>
      <c r="F32" s="5" t="inlineStr">
        <is>
          <t>Layout holds.</t>
        </is>
      </c>
      <c r="G32" s="5" t="inlineStr">
        <is>
          <t>Medium</t>
        </is>
      </c>
      <c r="H32" s="7" t="n"/>
      <c r="I32" s="7" t="n"/>
      <c r="J32" s="7" t="inlineStr">
        <is>
          <t>Not run</t>
        </is>
      </c>
      <c r="K32" s="7" t="n"/>
      <c r="L32" s="7" t="n"/>
    </row>
    <row r="33" ht="55.5" customHeight="1">
      <c r="A33" s="5" t="inlineStr">
        <is>
          <t>MT-029</t>
        </is>
      </c>
      <c r="B33" s="5" t="inlineStr">
        <is>
          <t>Stability</t>
        </is>
      </c>
      <c r="C33" s="5" t="inlineStr">
        <is>
          <t>All</t>
        </is>
      </c>
      <c r="D33" s="5" t="inlineStr">
        <is>
          <t>Cold start</t>
        </is>
      </c>
      <c r="E33" s="5" t="inlineStr">
        <is>
          <t>Leave the app idle for 30 minutes, then load it.</t>
        </is>
      </c>
      <c r="F33" s="5" t="inlineStr">
        <is>
          <t>No container cold-start delay in front of the audience. Azure Container Apps can scale to zero.</t>
        </is>
      </c>
      <c r="G33" s="5" t="inlineStr">
        <is>
          <t>Critical</t>
        </is>
      </c>
      <c r="H33" s="7" t="n"/>
      <c r="I33" s="7" t="n"/>
      <c r="J33" s="7" t="inlineStr">
        <is>
          <t>Not run</t>
        </is>
      </c>
      <c r="K33" s="7" t="n"/>
      <c r="L33" s="7" t="n"/>
    </row>
    <row r="34" ht="55.5" customHeight="1">
      <c r="A34" s="5" t="inlineStr">
        <is>
          <t>MT-030</t>
        </is>
      </c>
      <c r="B34" s="5" t="inlineStr">
        <is>
          <t>Stability</t>
        </is>
      </c>
      <c r="C34" s="5" t="inlineStr">
        <is>
          <t>All</t>
        </is>
      </c>
      <c r="D34" s="5" t="inlineStr">
        <is>
          <t>Rapid clicking</t>
        </is>
      </c>
      <c r="E34" s="5" t="inlineStr">
        <is>
          <t>Click through all views quickly twice.</t>
        </is>
      </c>
      <c r="F34" s="5" t="inlineStr">
        <is>
          <t>No stuck spinner, no duplicated request errors.</t>
        </is>
      </c>
      <c r="G34" s="5" t="inlineStr">
        <is>
          <t>High</t>
        </is>
      </c>
      <c r="H34" s="7" t="n"/>
      <c r="I34" s="7" t="n"/>
      <c r="J34" s="7" t="inlineStr">
        <is>
          <t>Not run</t>
        </is>
      </c>
      <c r="K34" s="7" t="n"/>
      <c r="L34" s="7" t="n"/>
    </row>
    <row r="35" ht="55.5" customHeight="1">
      <c r="A35" s="5" t="inlineStr">
        <is>
          <t>MT-031</t>
        </is>
      </c>
      <c r="B35" s="5" t="inlineStr">
        <is>
          <t>Stability</t>
        </is>
      </c>
      <c r="C35" s="5" t="inlineStr">
        <is>
          <t>All</t>
        </is>
      </c>
      <c r="D35" s="5" t="inlineStr">
        <is>
          <t>Full dry run</t>
        </is>
      </c>
      <c r="E35" s="5" t="inlineStr">
        <is>
          <t>Run the entire 4-minute demo end to end, twice.</t>
        </is>
      </c>
      <c r="F35" s="5" t="inlineStr">
        <is>
          <t>Same result both times, within the time budget.</t>
        </is>
      </c>
      <c r="G35" s="5" t="inlineStr">
        <is>
          <t>Critical</t>
        </is>
      </c>
      <c r="H35" s="7" t="n"/>
      <c r="I35" s="7" t="n"/>
      <c r="J35" s="7" t="inlineStr">
        <is>
          <t>Not run</t>
        </is>
      </c>
      <c r="K35" s="7" t="n"/>
      <c r="L35" s="7" t="n"/>
    </row>
  </sheetData>
  <autoFilter ref="A4:L35"/>
  <conditionalFormatting sqref="G5:G35">
    <cfRule type="cellIs" priority="4" operator="equal" dxfId="45">
      <formula>"Critical"</formula>
    </cfRule>
  </conditionalFormatting>
  <conditionalFormatting sqref="J5:J35">
    <cfRule type="cellIs" priority="2" operator="equal" dxfId="45">
      <formula>"Fail"</formula>
    </cfRule>
    <cfRule type="cellIs" priority="3" operator="equal" dxfId="46">
      <formula>"Pass"</formula>
    </cfRule>
  </conditionalFormatting>
  <dataValidations count="1">
    <dataValidation sqref="J5:J35" showDropDown="0" showInputMessage="0" showErrorMessage="0" allowBlank="1" type="list">
      <formula1>"Not run,Pass,Fail,Partial,Blocked"</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L35"/>
  <sheetViews>
    <sheetView showGridLines="0" zoomScaleNormal="100" workbookViewId="0">
      <pane xSplit="3" ySplit="4" topLeftCell="D13" activePane="bottomRight" state="frozen"/>
      <selection pane="topRight" activeCell="D1" sqref="D1"/>
      <selection pane="bottomLeft" activeCell="A5" sqref="A5"/>
      <selection pane="bottomRight" activeCell="A1" sqref="A1:F1"/>
    </sheetView>
  </sheetViews>
  <sheetFormatPr baseColWidth="8" defaultColWidth="8.7265625" defaultRowHeight="14.5"/>
  <cols>
    <col width="9" customWidth="1" style="10" min="1" max="1"/>
    <col width="14" customWidth="1" style="10" min="2" max="2"/>
    <col width="12" customWidth="1" style="10" min="3" max="3"/>
    <col width="28" customWidth="1" style="10" min="4" max="4"/>
    <col width="66" customWidth="1" style="10" min="5" max="6"/>
    <col width="12" customWidth="1" style="10" min="7" max="7"/>
    <col width="14" customWidth="1" style="10" min="8" max="8"/>
    <col width="13" customWidth="1" style="10" min="9" max="9"/>
    <col width="14" customWidth="1" style="10" min="10" max="10"/>
    <col width="13" customWidth="1" style="10" min="11" max="11"/>
    <col width="26" customWidth="1" style="10" min="12" max="12"/>
    <col width="8.7265625" customWidth="1" style="10" min="13" max="16384"/>
  </cols>
  <sheetData>
    <row r="1" ht="19.5" customHeight="1">
      <c r="A1" s="36" t="inlineStr">
        <is>
          <t>Daftar uji manual - hal yang tidak bisa diuji dari luar aplikasi</t>
        </is>
      </c>
    </row>
    <row r="2">
      <c r="A2" s="37" t="inlineStr">
        <is>
          <t>Jalankan pada aplikasi live lalu isi kolom kuning. Setiap kegagalan menjadi baris baru di sheet 01B_Temuan_Bahasa.</t>
        </is>
      </c>
    </row>
    <row r="4">
      <c r="A4" s="27" t="inlineStr">
        <is>
          <t>No</t>
        </is>
      </c>
      <c r="B4" s="27" t="inlineStr">
        <is>
          <t>Area</t>
        </is>
      </c>
      <c r="C4" s="27" t="inlineStr">
        <is>
          <t>Agent</t>
        </is>
      </c>
      <c r="D4" s="27" t="inlineStr">
        <is>
          <t>Pengujian</t>
        </is>
      </c>
      <c r="E4" s="27" t="inlineStr">
        <is>
          <t>Step</t>
        </is>
      </c>
      <c r="F4" s="27" t="inlineStr">
        <is>
          <t>Expected Result</t>
        </is>
      </c>
      <c r="G4" s="27" t="inlineStr">
        <is>
          <t>Prioritas</t>
        </is>
      </c>
      <c r="H4" s="27" t="inlineStr">
        <is>
          <t>Penguji</t>
        </is>
      </c>
      <c r="I4" s="27" t="inlineStr">
        <is>
          <t>Tanggal uji</t>
        </is>
      </c>
      <c r="J4" s="27" t="inlineStr">
        <is>
          <t>Hasil</t>
        </is>
      </c>
      <c r="K4" s="27" t="inlineStr">
        <is>
          <t>No temuan</t>
        </is>
      </c>
      <c r="L4" s="27" t="inlineStr">
        <is>
          <t>Catatan</t>
        </is>
      </c>
    </row>
    <row r="5" ht="26" customHeight="1">
      <c r="A5" s="39" t="inlineStr">
        <is>
          <t>MT-001</t>
        </is>
      </c>
      <c r="B5" s="39" t="inlineStr">
        <is>
          <t>Navigasi</t>
        </is>
      </c>
      <c r="C5" s="39" t="inlineStr">
        <is>
          <t>Semua</t>
        </is>
      </c>
      <c r="D5" s="39" t="inlineStr">
        <is>
          <t>Pemilih agent</t>
        </is>
      </c>
      <c r="E5" s="39" t="inlineStr">
        <is>
          <t>Klik keempat agent bergantian: Finance, Leakage, Collection, Treasury.</t>
        </is>
      </c>
      <c r="F5" s="39" t="inlineStr">
        <is>
          <t>Setiap agent termuat dalam 3 detik, baris KPI berubah, dan tidak ada grafik yang kosong.</t>
        </is>
      </c>
      <c r="G5" s="39" t="inlineStr">
        <is>
          <t>Kritis</t>
        </is>
      </c>
      <c r="H5" s="28" t="n"/>
      <c r="I5" s="29" t="n">
        <v>46231</v>
      </c>
      <c r="J5" s="28" t="inlineStr">
        <is>
          <t>Sebagian</t>
        </is>
      </c>
      <c r="K5" s="28" t="n"/>
      <c r="L5" s="28" t="inlineStr">
        <is>
          <t>Masih ada grafik yang kosong &gt;&gt; terutama dipart Leakage | 30 Jul 2026: chart Leakage kosong yang menyebabkan Sebagian sudah diperbaiki (QC-001 / QC-024). Siap diuji ulang.</t>
        </is>
      </c>
    </row>
    <row r="6" ht="39" customHeight="1">
      <c r="A6" s="39" t="inlineStr">
        <is>
          <t>MT-002</t>
        </is>
      </c>
      <c r="B6" s="39" t="inlineStr">
        <is>
          <t>Navigasi</t>
        </is>
      </c>
      <c r="C6" s="39" t="inlineStr">
        <is>
          <t>Semua</t>
        </is>
      </c>
      <c r="D6" s="39" t="inlineStr">
        <is>
          <t>Tab tampilan</t>
        </is>
      </c>
      <c r="E6" s="39" t="inlineStr">
        <is>
          <t>Klik semua tab tampilan di setiap agent (Finance: drivers, revenue, product, fx, opex. Collection: aging, worklist, prize, tiers, options. Leakage: categories, blockvs, recovery, worklist, vendors. Treasury: forecast, exposure, fx, options).</t>
        </is>
      </c>
      <c r="F6" s="39" t="inlineStr">
        <is>
          <t>Ke-19 tampilan tampil berisi data. Catat mana yang kosong atau error.</t>
        </is>
      </c>
      <c r="G6" s="39" t="inlineStr">
        <is>
          <t>Kritis</t>
        </is>
      </c>
      <c r="H6" s="28" t="n"/>
      <c r="I6" s="29" t="n">
        <v>46231</v>
      </c>
      <c r="J6" s="28" t="inlineStr">
        <is>
          <t>Sebagian</t>
        </is>
      </c>
      <c r="K6" s="28" t="n"/>
      <c r="L6" s="28" t="inlineStr">
        <is>
          <t>Masih ada grafik yang kosong &gt;&gt; terutama dipart Leakage | 30 Jul 2026: chart Leakage kosong yang menyebabkan Sebagian sudah diperbaiki (QC-001 / QC-024). Siap diuji ulang.</t>
        </is>
      </c>
    </row>
    <row r="7">
      <c r="A7" s="39" t="inlineStr">
        <is>
          <t>MT-003</t>
        </is>
      </c>
      <c r="B7" s="39" t="inlineStr">
        <is>
          <t>Navigasi</t>
        </is>
      </c>
      <c r="C7" s="39" t="inlineStr">
        <is>
          <t>Semua</t>
        </is>
      </c>
      <c r="D7" s="39" t="inlineStr">
        <is>
          <t>Deep link dan refresh</t>
        </is>
      </c>
      <c r="E7" s="39" t="inlineStr">
        <is>
          <t>Refresh browser saat berada di tampilan selain default.</t>
        </is>
      </c>
      <c r="F7" s="39" t="inlineStr">
        <is>
          <t>Aplikasi kembali ke kondisi normal, bukan error.</t>
        </is>
      </c>
      <c r="G7" s="39" t="inlineStr">
        <is>
          <t>Sedang</t>
        </is>
      </c>
      <c r="H7" s="28" t="n"/>
      <c r="I7" s="29" t="n">
        <v>46231</v>
      </c>
      <c r="J7" s="28" t="inlineStr">
        <is>
          <t>Lulus</t>
        </is>
      </c>
      <c r="K7" s="28" t="n"/>
      <c r="L7" s="28" t="n"/>
    </row>
    <row r="8" ht="39" customHeight="1">
      <c r="A8" s="39" t="inlineStr">
        <is>
          <t>MT-004</t>
        </is>
      </c>
      <c r="B8" s="39" t="inlineStr">
        <is>
          <t>Tombol</t>
        </is>
      </c>
      <c r="C8" s="39" t="inlineStr">
        <is>
          <t>Semua</t>
        </is>
      </c>
      <c r="D8" s="39" t="inlineStr">
        <is>
          <t>Klik KPI tile</t>
        </is>
      </c>
      <c r="E8" s="39" t="inlineStr">
        <is>
          <t>Klik setiap KPI tile.</t>
        </is>
      </c>
      <c r="F8" s="39" t="inlineStr">
        <is>
          <t>Tampilan yang sesuai terbuka. Field 'view' pada KPI menunjukkan ini memang dirancang begitu: margin dan ebitda membuka drivers, revenue membuka revenue, gm membuka product, opex membuka opex.</t>
        </is>
      </c>
      <c r="G8" s="39" t="inlineStr">
        <is>
          <t>Tinggi</t>
        </is>
      </c>
      <c r="H8" s="28" t="n"/>
      <c r="I8" s="28" t="n"/>
      <c r="J8" s="28" t="inlineStr">
        <is>
          <t>Belum diuji</t>
        </is>
      </c>
      <c r="K8" s="28" t="n"/>
      <c r="L8" s="28" t="n"/>
    </row>
    <row r="9" ht="26" customHeight="1">
      <c r="A9" s="39" t="inlineStr">
        <is>
          <t>MT-005</t>
        </is>
      </c>
      <c r="B9" s="39" t="inlineStr">
        <is>
          <t>Tombol</t>
        </is>
      </c>
      <c r="C9" s="39" t="inlineStr">
        <is>
          <t>Semua</t>
        </is>
      </c>
      <c r="D9" s="39" t="inlineStr">
        <is>
          <t>Jelaskan KPI ini</t>
        </is>
      </c>
      <c r="E9" s="39" t="inlineStr">
        <is>
          <t>Gunakan fitur explain pada KPI.</t>
        </is>
      </c>
      <c r="F9" s="39" t="inlineStr">
        <is>
          <t>Jawaban menyebut nama KPI dan nilainya dengan benar. Judul percakapan tersimpan menunjukkan fitur ini ada.</t>
        </is>
      </c>
      <c r="G9" s="39" t="inlineStr">
        <is>
          <t>Tinggi</t>
        </is>
      </c>
      <c r="H9" s="28" t="n"/>
      <c r="I9" s="28" t="n"/>
      <c r="J9" s="28" t="inlineStr">
        <is>
          <t>Belum diuji</t>
        </is>
      </c>
      <c r="K9" s="28" t="n"/>
      <c r="L9" s="28" t="n"/>
    </row>
    <row r="10" ht="26" customHeight="1">
      <c r="A10" s="39" t="inlineStr">
        <is>
          <t>MT-006</t>
        </is>
      </c>
      <c r="B10" s="39" t="inlineStr">
        <is>
          <t>Simulator</t>
        </is>
      </c>
      <c r="C10" s="39" t="inlineStr">
        <is>
          <t>Finance</t>
        </is>
      </c>
      <c r="D10" s="39" t="inlineStr">
        <is>
          <t>Lima slider</t>
        </is>
      </c>
      <c r="E10" s="39" t="inlineStr">
        <is>
          <t>Geser Price, Cost, Volume, FX, dan Opex satu per satu dari posisi awal 0.</t>
        </is>
      </c>
      <c r="F10" s="39" t="inlineStr">
        <is>
          <t>Gauge dan angka skenario berubah pada setiap pergeseran. Catat margin saat price +5% dan pastikan masuk akal terhadap baseline pendapatan 46.510 dan GM 11.780.</t>
        </is>
      </c>
      <c r="G10" s="39" t="inlineStr">
        <is>
          <t>Kritis</t>
        </is>
      </c>
      <c r="H10" s="28" t="n"/>
      <c r="I10" s="29" t="n">
        <v>46231</v>
      </c>
      <c r="J10" s="28" t="inlineStr">
        <is>
          <t>Lulus</t>
        </is>
      </c>
      <c r="K10" s="28" t="n"/>
      <c r="L10" s="28" t="n"/>
    </row>
    <row r="11" ht="26" customHeight="1">
      <c r="A11" s="39" t="inlineStr">
        <is>
          <t>MT-007</t>
        </is>
      </c>
      <c r="B11" s="39" t="inlineStr">
        <is>
          <t>Simulator</t>
        </is>
      </c>
      <c r="C11" s="39" t="inlineStr">
        <is>
          <t>Finance</t>
        </is>
      </c>
      <c r="D11" s="39" t="inlineStr">
        <is>
          <t>Pemilih scope</t>
        </is>
      </c>
      <c r="E11" s="39" t="inlineStr">
        <is>
          <t>Ganti scope antara 'all' dan 'fx'.</t>
        </is>
      </c>
      <c r="F11" s="39" t="inlineStr">
        <is>
          <t>Scope benar-benar mengubah tuas mana yang berlaku. Pastikan bukan sekadar kosmetik.</t>
        </is>
      </c>
      <c r="G11" s="39" t="inlineStr">
        <is>
          <t>Tinggi</t>
        </is>
      </c>
      <c r="H11" s="28" t="n"/>
      <c r="I11" s="29" t="n">
        <v>46231</v>
      </c>
      <c r="J11" s="28" t="inlineStr">
        <is>
          <t>Lulus</t>
        </is>
      </c>
      <c r="K11" s="28" t="n"/>
      <c r="L11" s="28" t="n"/>
    </row>
    <row r="12">
      <c r="A12" s="39" t="inlineStr">
        <is>
          <t>MT-008</t>
        </is>
      </c>
      <c r="B12" s="39" t="inlineStr">
        <is>
          <t>Simulator</t>
        </is>
      </c>
      <c r="C12" s="39" t="inlineStr">
        <is>
          <t>Finance</t>
        </is>
      </c>
      <c r="D12" s="39" t="inlineStr">
        <is>
          <t>Reset</t>
        </is>
      </c>
      <c r="E12" s="39" t="inlineStr">
        <is>
          <t>Kembalikan semua slider ke 0.</t>
        </is>
      </c>
      <c r="F12" s="39" t="inlineStr">
        <is>
          <t>Semua angka kembali persis ke baseline: EBITDA 4.300, margin 9,2%.</t>
        </is>
      </c>
      <c r="G12" s="39" t="inlineStr">
        <is>
          <t>Kritis</t>
        </is>
      </c>
      <c r="H12" s="28" t="n"/>
      <c r="I12" s="29" t="n">
        <v>46231</v>
      </c>
      <c r="J12" s="28" t="inlineStr">
        <is>
          <t>Lulus</t>
        </is>
      </c>
      <c r="K12" s="28" t="n"/>
      <c r="L12" s="28" t="n"/>
    </row>
    <row r="13" ht="26" customHeight="1">
      <c r="A13" s="39" t="inlineStr">
        <is>
          <t>MT-009</t>
        </is>
      </c>
      <c r="B13" s="39" t="inlineStr">
        <is>
          <t>Simulator</t>
        </is>
      </c>
      <c r="C13" s="39" t="inlineStr">
        <is>
          <t>Collection</t>
        </is>
      </c>
      <c r="D13" s="39" t="inlineStr">
        <is>
          <t>Tarik dan diskon</t>
        </is>
      </c>
      <c r="E13" s="39" t="inlineStr">
        <is>
          <t>Set 'Pull from customer' ke 10.000 dan Discount ke 1%.</t>
        </is>
      </c>
      <c r="F13" s="39" t="inlineStr">
        <is>
          <t>DSO turun dari 57,36 ke sekitar 52,14 (10.000 / 1.917,8 = 5,21 hari). Pastikan biaya diskon dikurangkan di suatu tempat.</t>
        </is>
      </c>
      <c r="G13" s="39" t="inlineStr">
        <is>
          <t>Kritis</t>
        </is>
      </c>
      <c r="H13" s="28" t="n"/>
      <c r="I13" s="29" t="n">
        <v>46231</v>
      </c>
      <c r="J13" s="28" t="inlineStr">
        <is>
          <t>Lulus</t>
        </is>
      </c>
      <c r="K13" s="28" t="n"/>
      <c r="L13" s="28" t="n"/>
    </row>
    <row r="14">
      <c r="A14" s="39" t="inlineStr">
        <is>
          <t>MT-010</t>
        </is>
      </c>
      <c r="B14" s="39" t="inlineStr">
        <is>
          <t>Simulator</t>
        </is>
      </c>
      <c r="C14" s="39" t="inlineStr">
        <is>
          <t>Collection</t>
        </is>
      </c>
      <c r="D14" s="39" t="inlineStr">
        <is>
          <t>Batas maksimum</t>
        </is>
      </c>
      <c r="E14" s="39" t="inlineStr">
        <is>
          <t>Set Pull ke maksimum 10.000 lalu kembali ke 0.</t>
        </is>
      </c>
      <c r="F14" s="39" t="inlineStr">
        <is>
          <t>Tidak ada DSO negatif, tidak ada error, dan kembali bersih ke 57,36.</t>
        </is>
      </c>
      <c r="G14" s="39" t="inlineStr">
        <is>
          <t>Tinggi</t>
        </is>
      </c>
      <c r="H14" s="28" t="n"/>
      <c r="I14" s="29" t="n">
        <v>46231</v>
      </c>
      <c r="J14" s="28" t="inlineStr">
        <is>
          <t>Gagal</t>
        </is>
      </c>
      <c r="K14" s="28" t="n"/>
      <c r="L14" s="28" t="inlineStr">
        <is>
          <t>Saya cek DSO ke 53.5</t>
        </is>
      </c>
    </row>
    <row r="15" ht="26" customHeight="1">
      <c r="A15" s="39" t="inlineStr">
        <is>
          <t>MT-011</t>
        </is>
      </c>
      <c r="B15" s="39" t="inlineStr">
        <is>
          <t>Simulator</t>
        </is>
      </c>
      <c r="C15" s="39" t="inlineStr">
        <is>
          <t>Treasury</t>
        </is>
      </c>
      <c r="D15" s="39" t="inlineStr">
        <is>
          <t>Empat tuas</t>
        </is>
      </c>
      <c r="E15" s="39" t="inlineStr">
        <is>
          <t>Geser accelerate collection, defer payment, credit line draw, dan hedge.</t>
        </is>
      </c>
      <c r="F15" s="39" t="inlineStr">
        <is>
          <t>Saldo kas Minggu 5 dan gauge coverage sama-sama merespons. Menunda pembayaran harus menunjukkan uangnya pindah ke mana, bukan hanya bahwa Minggu 5 membaik.</t>
        </is>
      </c>
      <c r="G15" s="39" t="inlineStr">
        <is>
          <t>Kritis</t>
        </is>
      </c>
      <c r="H15" s="28" t="n"/>
      <c r="I15" s="29" t="n">
        <v>46231</v>
      </c>
      <c r="J15" s="28" t="inlineStr">
        <is>
          <t>Lulus</t>
        </is>
      </c>
      <c r="K15" s="28" t="n"/>
      <c r="L15" s="28" t="inlineStr">
        <is>
          <t>Belum ada contoh yang sesuai</t>
        </is>
      </c>
    </row>
    <row r="16" ht="26" customHeight="1">
      <c r="A16" s="39" t="inlineStr">
        <is>
          <t>MT-012</t>
        </is>
      </c>
      <c r="B16" s="39" t="inlineStr">
        <is>
          <t>Simulator</t>
        </is>
      </c>
      <c r="C16" s="39" t="inlineStr">
        <is>
          <t>Treasury</t>
        </is>
      </c>
      <c r="D16" s="39" t="inlineStr">
        <is>
          <t>Tunda melewati titik terendah</t>
        </is>
      </c>
      <c r="E16" s="39" t="inlineStr">
        <is>
          <t>Tunda 3.000 dari Minggu 5.</t>
        </is>
      </c>
      <c r="F16" s="39" t="inlineStr">
        <is>
          <t>Periksa apakah Minggu 6 atau Minggu 7 menjadi lebih buruk. Kalau tidak ada yang berubah, modelnya hanya memindahkan satu angka.</t>
        </is>
      </c>
      <c r="G16" s="39" t="inlineStr">
        <is>
          <t>Kritis</t>
        </is>
      </c>
      <c r="H16" s="28" t="n"/>
      <c r="I16" s="29" t="n">
        <v>46231</v>
      </c>
      <c r="J16" s="28" t="inlineStr">
        <is>
          <t>Lulus</t>
        </is>
      </c>
      <c r="K16" s="28" t="n"/>
      <c r="L16" s="28" t="inlineStr">
        <is>
          <t>Belum ada contoh yang sesuai</t>
        </is>
      </c>
    </row>
    <row r="17" ht="26" customHeight="1">
      <c r="A17" s="39" t="inlineStr">
        <is>
          <t>MT-013</t>
        </is>
      </c>
      <c r="B17" s="39" t="inlineStr">
        <is>
          <t>Simulator</t>
        </is>
      </c>
      <c r="C17" s="39" t="inlineStr">
        <is>
          <t>Leakage</t>
        </is>
      </c>
      <c r="D17" s="39" t="inlineStr">
        <is>
          <t>Tiga tuas</t>
        </is>
      </c>
      <c r="E17" s="39" t="inlineStr">
        <is>
          <t>Geser Hold amount, Dup recovery %, dan Overbill rec %.</t>
        </is>
      </c>
      <c r="F17" s="39" t="inlineStr">
        <is>
          <t>Total protected ikut berubah. Pada posisi default harus terbaca 7.557,5, bukan 7.577,5 (lihat QC-013).</t>
        </is>
      </c>
      <c r="G17" s="39" t="inlineStr">
        <is>
          <t>Tinggi</t>
        </is>
      </c>
      <c r="H17" s="28" t="n"/>
      <c r="I17" s="29" t="n">
        <v>46231</v>
      </c>
      <c r="J17" s="28" t="inlineStr">
        <is>
          <t>Lulus</t>
        </is>
      </c>
      <c r="K17" s="28" t="n"/>
      <c r="L17" s="28" t="n"/>
    </row>
    <row r="18" ht="26" customHeight="1">
      <c r="A18" s="39" t="inlineStr">
        <is>
          <t>MT-014</t>
        </is>
      </c>
      <c r="B18" s="39" t="inlineStr">
        <is>
          <t>Aksi</t>
        </is>
      </c>
      <c r="C18" s="39" t="inlineStr">
        <is>
          <t>Semua</t>
        </is>
      </c>
      <c r="D18" s="39" t="inlineStr">
        <is>
          <t>Approve</t>
        </is>
      </c>
      <c r="E18" s="39" t="inlineStr">
        <is>
          <t>Setujui satu aksi.</t>
        </is>
      </c>
      <c r="F18" s="39" t="inlineStr">
        <is>
          <t>Status berubah dari planned. Pastikan apa yang benar-benar berubah dan apakah bisa dibatalkan.</t>
        </is>
      </c>
      <c r="G18" s="39" t="inlineStr">
        <is>
          <t>Kritis</t>
        </is>
      </c>
      <c r="H18" s="28" t="n"/>
      <c r="I18" s="29" t="n">
        <v>46231</v>
      </c>
      <c r="J18" s="28" t="inlineStr">
        <is>
          <t>Sebagian</t>
        </is>
      </c>
      <c r="K18" s="28" t="n"/>
      <c r="L18" s="28" t="inlineStr">
        <is>
          <t>Belum bisa dibatalkan</t>
        </is>
      </c>
    </row>
    <row r="19" ht="26" customHeight="1">
      <c r="A19" s="39" t="inlineStr">
        <is>
          <t>MT-015</t>
        </is>
      </c>
      <c r="B19" s="39" t="inlineStr">
        <is>
          <t>Aksi</t>
        </is>
      </c>
      <c r="C19" s="39" t="inlineStr">
        <is>
          <t>Semua</t>
        </is>
      </c>
      <c r="D19" s="39" t="inlineStr">
        <is>
          <t>Simulate</t>
        </is>
      </c>
      <c r="E19" s="39" t="inlineStr">
        <is>
          <t>Jalankan simulate pada satu aksi.</t>
        </is>
      </c>
      <c r="F19" s="39" t="inlineStr">
        <is>
          <t>Saat ini simulation_summary bernilai null pada seluruh 47 aksi. Pastikan endpoint ini menghasilkan sesuatu atau tidak.</t>
        </is>
      </c>
      <c r="G19" s="39" t="inlineStr">
        <is>
          <t>Kritis</t>
        </is>
      </c>
      <c r="H19" s="28" t="n"/>
      <c r="I19" s="29" t="n">
        <v>46231</v>
      </c>
      <c r="J19" s="28" t="inlineStr">
        <is>
          <t>Sebagian</t>
        </is>
      </c>
      <c r="K19" s="28" t="n"/>
      <c r="L19" s="28" t="inlineStr">
        <is>
          <t>Agent Action belum terimpact pada Action History</t>
        </is>
      </c>
    </row>
    <row r="20">
      <c r="A20" s="39" t="inlineStr">
        <is>
          <t>MT-016</t>
        </is>
      </c>
      <c r="B20" s="39" t="inlineStr">
        <is>
          <t>Aksi</t>
        </is>
      </c>
      <c r="C20" s="39" t="inlineStr">
        <is>
          <t>Semua</t>
        </is>
      </c>
      <c r="D20" s="39" t="inlineStr">
        <is>
          <t>Routing</t>
        </is>
      </c>
      <c r="E20" s="39" t="inlineStr">
        <is>
          <t>Buka aksi dengan beberapa rute, misalnya Treasury Manager, Procurement, A/P.</t>
        </is>
      </c>
      <c r="F20" s="39" t="inlineStr">
        <is>
          <t>Rute terlihat dan bisa dijelaskan di layar. Inilah inti cerita agentic untuk audiens CFO.</t>
        </is>
      </c>
      <c r="G20" s="39" t="inlineStr">
        <is>
          <t>Kritis</t>
        </is>
      </c>
      <c r="H20" s="28" t="n"/>
      <c r="I20" s="28" t="n"/>
      <c r="J20" s="28" t="inlineStr">
        <is>
          <t>Belum diuji</t>
        </is>
      </c>
      <c r="K20" s="28" t="n"/>
      <c r="L20" s="28" t="inlineStr">
        <is>
          <t>Belum dicoba</t>
        </is>
      </c>
    </row>
    <row r="21" ht="26" customHeight="1">
      <c r="A21" s="39" t="inlineStr">
        <is>
          <t>MT-017</t>
        </is>
      </c>
      <c r="B21" s="39" t="inlineStr">
        <is>
          <t>Chat</t>
        </is>
      </c>
      <c r="C21" s="39" t="inlineStr">
        <is>
          <t>Semua</t>
        </is>
      </c>
      <c r="D21" s="39" t="inlineStr">
        <is>
          <t>Starter prompt</t>
        </is>
      </c>
      <c r="E21" s="39" t="inlineStr">
        <is>
          <t>Jalankan kedelapan starter prompt.</t>
        </is>
      </c>
      <c r="F21" s="39" t="inlineStr">
        <is>
          <t>Jawaban mengutip angka yang persis sama dengan dashboard. Catat setiap angka yang berbeda.</t>
        </is>
      </c>
      <c r="G21" s="39" t="inlineStr">
        <is>
          <t>Kritis</t>
        </is>
      </c>
      <c r="H21" s="28" t="n"/>
      <c r="I21" s="29" t="n">
        <v>46231</v>
      </c>
      <c r="J21" s="28" t="inlineStr">
        <is>
          <t>Lulus</t>
        </is>
      </c>
      <c r="K21" s="28" t="n"/>
      <c r="L21" s="28" t="n"/>
    </row>
    <row r="22" ht="26" customHeight="1">
      <c r="A22" s="39" t="inlineStr">
        <is>
          <t>MT-018</t>
        </is>
      </c>
      <c r="B22" s="39" t="inlineStr">
        <is>
          <t>Chat</t>
        </is>
      </c>
      <c r="C22" s="39" t="inlineStr">
        <is>
          <t>Semua</t>
        </is>
      </c>
      <c r="D22" s="39" t="inlineStr">
        <is>
          <t>Perpindahan antar agent</t>
        </is>
      </c>
      <c r="E22" s="39" t="inlineStr">
        <is>
          <t>Tanyakan 'siapa yang harus saya libatkan untuk memperbaiki margin' dan 'kalau Collection menarik kas lebih awal, apa dampaknya ke Minggu 5'.</t>
        </is>
      </c>
      <c r="F22" s="39" t="inlineStr">
        <is>
          <t>Agent menyebut agent lain lalu menyerahkan tugasnya. Inilah bagian paling penting dari demo.</t>
        </is>
      </c>
      <c r="G22" s="39" t="inlineStr">
        <is>
          <t>Kritis</t>
        </is>
      </c>
      <c r="H22" s="28" t="n"/>
      <c r="I22" s="29" t="n">
        <v>46231</v>
      </c>
      <c r="J22" s="28" t="inlineStr">
        <is>
          <t>Gagal</t>
        </is>
      </c>
      <c r="K22" s="28" t="n"/>
      <c r="L22" s="28" t="inlineStr">
        <is>
          <t>Muncul error "Object of type Decimal is not JSON serializable"</t>
        </is>
      </c>
    </row>
    <row r="23">
      <c r="A23" s="39" t="inlineStr">
        <is>
          <t>MT-019</t>
        </is>
      </c>
      <c r="B23" s="39" t="inlineStr">
        <is>
          <t>Chat</t>
        </is>
      </c>
      <c r="C23" s="39" t="inlineStr">
        <is>
          <t>Semua</t>
        </is>
      </c>
      <c r="D23" s="39" t="inlineStr">
        <is>
          <t>Minta grafik</t>
        </is>
      </c>
      <c r="E23" s="39" t="inlineStr">
        <is>
          <t>Tanyakan 'tampilkan EBITDA bridge' dan 'tampilkan umur piutang dalam pie chart'.</t>
        </is>
      </c>
      <c r="F23" s="39" t="inlineStr">
        <is>
          <t>Grafik muncul di dalam chat dengan angka yang sama dengan dashboard.</t>
        </is>
      </c>
      <c r="G23" s="39" t="inlineStr">
        <is>
          <t>Tinggi</t>
        </is>
      </c>
      <c r="H23" s="28" t="n"/>
      <c r="I23" s="29" t="n">
        <v>46231</v>
      </c>
      <c r="J23" s="28" t="inlineStr">
        <is>
          <t>Lulus</t>
        </is>
      </c>
      <c r="K23" s="28" t="n"/>
      <c r="L23" s="28" t="n"/>
    </row>
    <row r="24" ht="26" customHeight="1">
      <c r="A24" s="39" t="inlineStr">
        <is>
          <t>MT-020</t>
        </is>
      </c>
      <c r="B24" s="39" t="inlineStr">
        <is>
          <t>Chat</t>
        </is>
      </c>
      <c r="C24" s="39" t="inlineStr">
        <is>
          <t>Semua</t>
        </is>
      </c>
      <c r="D24" s="39" t="inlineStr">
        <is>
          <t>Pertanyaan menantang</t>
        </is>
      </c>
      <c r="E24" s="39" t="inlineStr">
        <is>
          <t>Tanyakan 'Anda menyuruh saya menagih pelanggan terbesar saya 10.000 mn, apa dampaknya ke hubungan bisnis'.</t>
        </is>
      </c>
      <c r="F24" s="39" t="inlineStr">
        <is>
          <t>Jawaban yang matang, bukan pengulangan worklist. Pertanyaan ini sudah ada di riwayat tersimpan.</t>
        </is>
      </c>
      <c r="G24" s="39" t="inlineStr">
        <is>
          <t>Tinggi</t>
        </is>
      </c>
      <c r="H24" s="28" t="n"/>
      <c r="I24" s="29" t="n">
        <v>46231</v>
      </c>
      <c r="J24" s="28" t="inlineStr">
        <is>
          <t>Lulus</t>
        </is>
      </c>
      <c r="K24" s="28" t="n"/>
      <c r="L24" s="28" t="n"/>
    </row>
    <row r="25">
      <c r="A25" s="39" t="inlineStr">
        <is>
          <t>MT-021</t>
        </is>
      </c>
      <c r="B25" s="39" t="inlineStr">
        <is>
          <t>Chat</t>
        </is>
      </c>
      <c r="C25" s="39" t="inlineStr">
        <is>
          <t>Semua</t>
        </is>
      </c>
      <c r="D25" s="39" t="inlineStr">
        <is>
          <t>Uji halusinasi</t>
        </is>
      </c>
      <c r="E25" s="39" t="inlineStr">
        <is>
          <t>Tanyakan angka yang tidak ada, misalnya 'berapa EBITDA kita di Q1 2024'.</t>
        </is>
      </c>
      <c r="F25" s="39" t="inlineStr">
        <is>
          <t>Agent menyatakan tidak memiliki datanya, bukan mengarang angka.</t>
        </is>
      </c>
      <c r="G25" s="39" t="inlineStr">
        <is>
          <t>Kritis</t>
        </is>
      </c>
      <c r="H25" s="28" t="n"/>
      <c r="I25" s="29" t="n">
        <v>46231</v>
      </c>
      <c r="J25" s="28" t="inlineStr">
        <is>
          <t>Lulus</t>
        </is>
      </c>
      <c r="K25" s="28" t="n"/>
      <c r="L25" s="28" t="n"/>
    </row>
    <row r="26">
      <c r="A26" s="39" t="inlineStr">
        <is>
          <t>MT-022</t>
        </is>
      </c>
      <c r="B26" s="39" t="inlineStr">
        <is>
          <t>Chat</t>
        </is>
      </c>
      <c r="C26" s="39" t="inlineStr">
        <is>
          <t>Semua</t>
        </is>
      </c>
      <c r="D26" s="39" t="inlineStr">
        <is>
          <t>Bahasa</t>
        </is>
      </c>
      <c r="E26" s="39" t="inlineStr">
        <is>
          <t>Ajukan satu pertanyaan dalam Bahasa Indonesia.</t>
        </is>
      </c>
      <c r="F26" s="39" t="inlineStr">
        <is>
          <t>Pastikan perilakunya sebelum event supaya tidak ada kejutan bila peserta mencoba.</t>
        </is>
      </c>
      <c r="G26" s="39" t="inlineStr">
        <is>
          <t>Sedang</t>
        </is>
      </c>
      <c r="H26" s="28" t="n"/>
      <c r="I26" s="29" t="n">
        <v>46231</v>
      </c>
      <c r="J26" s="28" t="inlineStr">
        <is>
          <t>Lulus</t>
        </is>
      </c>
      <c r="K26" s="28" t="n"/>
      <c r="L26" s="28" t="n"/>
    </row>
    <row r="27">
      <c r="A27" s="39" t="inlineStr">
        <is>
          <t>MT-023</t>
        </is>
      </c>
      <c r="B27" s="39" t="inlineStr">
        <is>
          <t>Chat</t>
        </is>
      </c>
      <c r="C27" s="39" t="inlineStr">
        <is>
          <t>Semua</t>
        </is>
      </c>
      <c r="D27" s="39" t="inlineStr">
        <is>
          <t>Kecepatan respons</t>
        </is>
      </c>
      <c r="E27" s="39" t="inlineStr">
        <is>
          <t>Ukur waktu lima jawaban.</t>
        </is>
      </c>
      <c r="F27" s="39" t="inlineStr">
        <is>
          <t>Di bawah sekitar 8 detik. Kalau lebih lambat, siapkan kalimat pengisi di voice over.</t>
        </is>
      </c>
      <c r="G27" s="39" t="inlineStr">
        <is>
          <t>Tinggi</t>
        </is>
      </c>
      <c r="H27" s="28" t="n"/>
      <c r="I27" s="29" t="n">
        <v>46231</v>
      </c>
      <c r="J27" s="28" t="inlineStr">
        <is>
          <t>Terhambat</t>
        </is>
      </c>
      <c r="K27" s="28" t="n"/>
      <c r="L27" s="28" t="inlineStr">
        <is>
          <t>Masih lambat</t>
        </is>
      </c>
    </row>
    <row r="28">
      <c r="A28" s="39" t="inlineStr">
        <is>
          <t>MT-024</t>
        </is>
      </c>
      <c r="B28" s="39" t="inlineStr">
        <is>
          <t>Chat</t>
        </is>
      </c>
      <c r="C28" s="39" t="inlineStr">
        <is>
          <t>Semua</t>
        </is>
      </c>
      <c r="D28" s="39" t="inlineStr">
        <is>
          <t>Panel riwayat</t>
        </is>
      </c>
      <c r="E28" s="39" t="inlineStr">
        <is>
          <t>Buka riwayat percakapan.</t>
        </is>
      </c>
      <c r="F28" s="39" t="inlineStr">
        <is>
          <t>Pastikan apakah sekitar 190 percakapan uji coba terlihat oleh audiens. Lihat QC-006.</t>
        </is>
      </c>
      <c r="G28" s="39" t="inlineStr">
        <is>
          <t>Kritis</t>
        </is>
      </c>
      <c r="H28" s="28" t="n"/>
      <c r="I28" s="29" t="n">
        <v>46231</v>
      </c>
      <c r="J28" s="28" t="inlineStr">
        <is>
          <t>Lulus</t>
        </is>
      </c>
      <c r="K28" s="28" t="n"/>
      <c r="L28" s="28" t="n"/>
    </row>
    <row r="29" ht="26" customHeight="1">
      <c r="A29" s="39" t="inlineStr">
        <is>
          <t>MT-025</t>
        </is>
      </c>
      <c r="B29" s="39" t="inlineStr">
        <is>
          <t>Data</t>
        </is>
      </c>
      <c r="C29" s="39" t="inlineStr">
        <is>
          <t>Semua</t>
        </is>
      </c>
      <c r="D29" s="39" t="inlineStr">
        <is>
          <t>Export</t>
        </is>
      </c>
      <c r="E29" s="39" t="inlineStr">
        <is>
          <t>Coba tombol export atau download apa pun.</t>
        </is>
      </c>
      <c r="F29" s="39" t="inlineStr">
        <is>
          <t>File terbuka dan isinya sama dengan yang di layar.</t>
        </is>
      </c>
      <c r="G29" s="39" t="inlineStr">
        <is>
          <t>Sedang</t>
        </is>
      </c>
      <c r="H29" s="28" t="n"/>
      <c r="I29" s="28" t="n"/>
      <c r="J29" s="28" t="inlineStr">
        <is>
          <t>Belum diuji</t>
        </is>
      </c>
      <c r="K29" s="28" t="n"/>
      <c r="L29" s="28" t="inlineStr">
        <is>
          <t>Belum ada feature export dan download</t>
        </is>
      </c>
    </row>
    <row r="30" ht="26" customHeight="1">
      <c r="A30" s="39" t="inlineStr">
        <is>
          <t>MT-026</t>
        </is>
      </c>
      <c r="B30" s="39" t="inlineStr">
        <is>
          <t>Tampilan</t>
        </is>
      </c>
      <c r="C30" s="39" t="inlineStr">
        <is>
          <t>Semua</t>
        </is>
      </c>
      <c r="D30" s="39" t="inlineStr">
        <is>
          <t>Uji proyektor</t>
        </is>
      </c>
      <c r="E30" s="39" t="inlineStr">
        <is>
          <t>Buka aplikasi pada 1920x1080 dan pada resolusi asli event.</t>
        </is>
      </c>
      <c r="F30" s="39" t="inlineStr">
        <is>
          <t>Tidak ada label terpotong, tidak ada legenda bertumpuk, dan terbaca dari belakang ruangan.</t>
        </is>
      </c>
      <c r="G30" s="39" t="inlineStr">
        <is>
          <t>Kritis</t>
        </is>
      </c>
      <c r="H30" s="28" t="n"/>
      <c r="I30" s="29" t="n">
        <v>46231</v>
      </c>
      <c r="J30" s="28" t="inlineStr">
        <is>
          <t>Lulus</t>
        </is>
      </c>
      <c r="K30" s="28" t="n"/>
      <c r="L30" s="28" t="n"/>
    </row>
    <row r="31">
      <c r="A31" s="39" t="inlineStr">
        <is>
          <t>MT-027</t>
        </is>
      </c>
      <c r="B31" s="39" t="inlineStr">
        <is>
          <t>Tampilan</t>
        </is>
      </c>
      <c r="C31" s="39" t="inlineStr">
        <is>
          <t>Semua</t>
        </is>
      </c>
      <c r="D31" s="39" t="inlineStr">
        <is>
          <t>Ruangan terang atau gelap</t>
        </is>
      </c>
      <c r="E31" s="39" t="inlineStr">
        <is>
          <t>Lihat pada layar event dengan pencahayaan ruangan sesungguhnya.</t>
        </is>
      </c>
      <c r="F31" s="39" t="inlineStr">
        <is>
          <t>Warna grafik tetap bisa dibedakan.</t>
        </is>
      </c>
      <c r="G31" s="39" t="inlineStr">
        <is>
          <t>Tinggi</t>
        </is>
      </c>
      <c r="H31" s="28" t="n"/>
      <c r="I31" s="29" t="n">
        <v>46231</v>
      </c>
      <c r="J31" s="28" t="inlineStr">
        <is>
          <t>Lulus</t>
        </is>
      </c>
      <c r="K31" s="28" t="n"/>
      <c r="L31" s="28" t="n"/>
    </row>
    <row r="32">
      <c r="A32" s="39" t="inlineStr">
        <is>
          <t>MT-028</t>
        </is>
      </c>
      <c r="B32" s="39" t="inlineStr">
        <is>
          <t>Tampilan</t>
        </is>
      </c>
      <c r="C32" s="39" t="inlineStr">
        <is>
          <t>Semua</t>
        </is>
      </c>
      <c r="D32" s="39" t="inlineStr">
        <is>
          <t>Zoom browser</t>
        </is>
      </c>
      <c r="E32" s="39" t="inlineStr">
        <is>
          <t>Uji pada 80%, 100%, dan 125%.</t>
        </is>
      </c>
      <c r="F32" s="39" t="inlineStr">
        <is>
          <t>Tata letak tetap rapi.</t>
        </is>
      </c>
      <c r="G32" s="39" t="inlineStr">
        <is>
          <t>Sedang</t>
        </is>
      </c>
      <c r="H32" s="28" t="n"/>
      <c r="I32" s="29" t="n">
        <v>46231</v>
      </c>
      <c r="J32" s="28" t="inlineStr">
        <is>
          <t>Lulus</t>
        </is>
      </c>
      <c r="K32" s="28" t="n"/>
      <c r="L32" s="28" t="n"/>
    </row>
    <row r="33" ht="26" customHeight="1">
      <c r="A33" s="39" t="inlineStr">
        <is>
          <t>MT-029</t>
        </is>
      </c>
      <c r="B33" s="39" t="inlineStr">
        <is>
          <t>Stabilitas</t>
        </is>
      </c>
      <c r="C33" s="39" t="inlineStr">
        <is>
          <t>Semua</t>
        </is>
      </c>
      <c r="D33" s="39" t="inlineStr">
        <is>
          <t>Cold start</t>
        </is>
      </c>
      <c r="E33" s="39" t="inlineStr">
        <is>
          <t>Diamkan aplikasi 30 menit, lalu buka kembali.</t>
        </is>
      </c>
      <c r="F33" s="39" t="inlineStr">
        <is>
          <t>Tidak ada jeda cold start di depan audiens. Azure Container Apps bisa turun ke nol instance.</t>
        </is>
      </c>
      <c r="G33" s="39" t="inlineStr">
        <is>
          <t>Kritis</t>
        </is>
      </c>
      <c r="H33" s="28" t="n"/>
      <c r="I33" s="29" t="n">
        <v>46231</v>
      </c>
      <c r="J33" s="28" t="inlineStr">
        <is>
          <t>Lulus</t>
        </is>
      </c>
      <c r="K33" s="28" t="n"/>
      <c r="L33" s="28" t="n"/>
    </row>
    <row r="34">
      <c r="A34" s="39" t="inlineStr">
        <is>
          <t>MT-030</t>
        </is>
      </c>
      <c r="B34" s="39" t="inlineStr">
        <is>
          <t>Stabilitas</t>
        </is>
      </c>
      <c r="C34" s="39" t="inlineStr">
        <is>
          <t>Semua</t>
        </is>
      </c>
      <c r="D34" s="39" t="inlineStr">
        <is>
          <t>Klik cepat</t>
        </is>
      </c>
      <c r="E34" s="39" t="inlineStr">
        <is>
          <t>Klik seluruh tampilan dengan cepat sebanyak dua putaran.</t>
        </is>
      </c>
      <c r="F34" s="39" t="inlineStr">
        <is>
          <t>Tidak ada spinner macet dan tidak ada error permintaan ganda.</t>
        </is>
      </c>
      <c r="G34" s="39" t="inlineStr">
        <is>
          <t>Tinggi</t>
        </is>
      </c>
      <c r="H34" s="28" t="n"/>
      <c r="I34" s="29" t="n">
        <v>46231</v>
      </c>
      <c r="J34" s="28" t="inlineStr">
        <is>
          <t>Sebagian</t>
        </is>
      </c>
      <c r="K34" s="28" t="n"/>
      <c r="L34" s="28" t="inlineStr">
        <is>
          <t>Masih butuh loading</t>
        </is>
      </c>
    </row>
    <row r="35">
      <c r="A35" s="39" t="inlineStr">
        <is>
          <t>MT-031</t>
        </is>
      </c>
      <c r="B35" s="39" t="inlineStr">
        <is>
          <t>Stabilitas</t>
        </is>
      </c>
      <c r="C35" s="39" t="inlineStr">
        <is>
          <t>Semua</t>
        </is>
      </c>
      <c r="D35" s="39" t="inlineStr">
        <is>
          <t>Gladi bersih penuh</t>
        </is>
      </c>
      <c r="E35" s="39" t="inlineStr">
        <is>
          <t>Jalankan seluruh demo 4 menit dari awal sampai akhir, dua kali.</t>
        </is>
      </c>
      <c r="F35" s="39" t="inlineStr">
        <is>
          <t>Hasil sama pada kedua percobaan, dan masuk dalam batas waktu.</t>
        </is>
      </c>
      <c r="G35" s="39" t="inlineStr">
        <is>
          <t>Kritis</t>
        </is>
      </c>
      <c r="H35" s="28" t="n"/>
      <c r="I35" s="28" t="n"/>
      <c r="J35" s="28" t="inlineStr">
        <is>
          <t>Belum diuji</t>
        </is>
      </c>
      <c r="K35" s="28" t="n"/>
      <c r="L35" s="28" t="inlineStr">
        <is>
          <t>Masih menunggu scenario dulu</t>
        </is>
      </c>
    </row>
  </sheetData>
  <autoFilter ref="A4:L35"/>
  <mergeCells count="2">
    <mergeCell ref="A2:F2"/>
    <mergeCell ref="A1:F1"/>
  </mergeCells>
  <conditionalFormatting sqref="G5:G35">
    <cfRule type="cellIs" priority="3" operator="equal" dxfId="45">
      <formula>"Kritis"</formula>
    </cfRule>
  </conditionalFormatting>
  <conditionalFormatting sqref="J5:J35">
    <cfRule type="cellIs" priority="1" operator="equal" dxfId="45">
      <formula>"Gagal"</formula>
    </cfRule>
    <cfRule type="cellIs" priority="2" operator="equal" dxfId="46">
      <formula>"Lulus"</formula>
    </cfRule>
  </conditionalFormatting>
  <dataValidations count="1">
    <dataValidation sqref="J5:J35" showDropDown="0" showInputMessage="0" showErrorMessage="0" allowBlank="1" type="list">
      <formula1>"Belum diuji,Lulus,Gagal,Sebagian,Terhambat"</formula1>
      <formula2>0</formula2>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66"/>
  <sheetViews>
    <sheetView showGridLines="0" topLeftCell="D1" zoomScaleNormal="100" workbookViewId="0">
      <pane ySplit="4" topLeftCell="A11" activePane="bottomLeft" state="frozen"/>
      <selection pane="bottomLeft" activeCell="D9" sqref="D9"/>
    </sheetView>
  </sheetViews>
  <sheetFormatPr baseColWidth="8" defaultColWidth="8.7265625" defaultRowHeight="14.5"/>
  <cols>
    <col width="5" customWidth="1" style="10" min="1" max="1"/>
    <col width="14" customWidth="1" style="10" min="2" max="2"/>
    <col width="46" customWidth="1" style="10" min="3" max="3"/>
    <col width="68" customWidth="1" style="10" min="4" max="4"/>
    <col width="26" customWidth="1" style="10" min="5" max="5"/>
    <col width="11" customWidth="1" style="10" min="6" max="6"/>
    <col width="10" customWidth="1" style="10" min="7" max="7"/>
    <col width="20" customWidth="1" style="10" min="8" max="16384"/>
    <col width="70" customWidth="1" min="9" max="9"/>
  </cols>
  <sheetData>
    <row r="1" ht="18" customHeight="1">
      <c r="A1" s="36" t="inlineStr">
        <is>
          <t>Formula reconciliation</t>
        </is>
      </c>
    </row>
    <row r="2" ht="15" customHeight="1">
      <c r="A2" s="37" t="inlineStr">
        <is>
          <t>PASS means the arithmetic on the live app is correct and you can defend it on stage. FAIL means it is wrong and has a QC ID.</t>
        </is>
      </c>
    </row>
    <row r="4" ht="15" customHeight="1">
      <c r="A4" s="27" t="inlineStr">
        <is>
          <t>#</t>
        </is>
      </c>
      <c r="B4" s="27" t="inlineStr">
        <is>
          <t>Agent</t>
        </is>
      </c>
      <c r="C4" s="27" t="inlineStr">
        <is>
          <t>What was checked</t>
        </is>
      </c>
      <c r="D4" s="27" t="inlineStr">
        <is>
          <t>Calculation performed</t>
        </is>
      </c>
      <c r="E4" s="27" t="inlineStr">
        <is>
          <t>Result on the app</t>
        </is>
      </c>
      <c r="F4" s="27" t="inlineStr">
        <is>
          <t>Verdict</t>
        </is>
      </c>
      <c r="G4" s="27" t="inlineStr">
        <is>
          <t>QC ID</t>
        </is>
      </c>
      <c r="H4" s="74" t="inlineStr">
        <is>
          <t>Retest 30 Jul 2026</t>
        </is>
      </c>
      <c r="I4" s="74" t="inlineStr">
        <is>
          <t>What changed</t>
        </is>
      </c>
    </row>
    <row r="5" ht="15" customHeight="1">
      <c r="A5" s="39" t="n">
        <v>1</v>
      </c>
      <c r="B5" s="39" t="inlineStr">
        <is>
          <t>Finance</t>
        </is>
      </c>
      <c r="C5" s="39" t="inlineStr">
        <is>
          <t>Revenue equals the sum of the three product lines</t>
        </is>
      </c>
      <c r="D5" s="39" t="inlineStr">
        <is>
          <t>19,110 + 13,600 + 13,800 = 46,510</t>
        </is>
      </c>
      <c r="E5" s="39" t="inlineStr">
        <is>
          <t>46,510</t>
        </is>
      </c>
      <c r="F5" s="39" t="inlineStr">
        <is>
          <t>PASS</t>
        </is>
      </c>
      <c r="G5" s="39" t="n"/>
    </row>
    <row r="6" ht="15" customHeight="1">
      <c r="A6" s="39" t="n">
        <v>2</v>
      </c>
      <c r="B6" s="39" t="inlineStr">
        <is>
          <t>Finance</t>
        </is>
      </c>
      <c r="C6" s="39" t="inlineStr">
        <is>
          <t>Gross margin equals the sum of the product line margins</t>
        </is>
      </c>
      <c r="D6" s="39" t="inlineStr">
        <is>
          <t>4,550 + 4,930 + 2,300 = 11,780</t>
        </is>
      </c>
      <c r="E6" s="39" t="inlineStr">
        <is>
          <t>11,780</t>
        </is>
      </c>
      <c r="F6" s="39" t="inlineStr">
        <is>
          <t>PASS</t>
        </is>
      </c>
      <c r="G6" s="39" t="n"/>
    </row>
    <row r="7" ht="15" customHeight="1">
      <c r="A7" s="39" t="n">
        <v>3</v>
      </c>
      <c r="B7" s="39" t="inlineStr">
        <is>
          <t>Finance</t>
        </is>
      </c>
      <c r="C7" s="39" t="inlineStr">
        <is>
          <t>Gross margin percentage</t>
        </is>
      </c>
      <c r="D7" s="39" t="inlineStr">
        <is>
          <t>11,780 / 46,510 = 25.33%</t>
        </is>
      </c>
      <c r="E7" s="39" t="inlineStr">
        <is>
          <t>25.3%</t>
        </is>
      </c>
      <c r="F7" s="39" t="inlineStr">
        <is>
          <t>PASS</t>
        </is>
      </c>
      <c r="G7" s="39" t="n"/>
    </row>
    <row r="8" ht="15" customHeight="1">
      <c r="A8" s="39" t="n">
        <v>4</v>
      </c>
      <c r="B8" s="39" t="inlineStr">
        <is>
          <t>Finance</t>
        </is>
      </c>
      <c r="C8" s="39" t="inlineStr">
        <is>
          <t>EBITDA equals gross margin less opex</t>
        </is>
      </c>
      <c r="D8" s="39" t="inlineStr">
        <is>
          <t>11,780 - 7,480 = 4,300</t>
        </is>
      </c>
      <c r="E8" s="39" t="inlineStr">
        <is>
          <t>4,300</t>
        </is>
      </c>
      <c r="F8" s="39" t="inlineStr">
        <is>
          <t>PASS</t>
        </is>
      </c>
      <c r="G8" s="39" t="n"/>
    </row>
    <row r="9" ht="15" customHeight="1">
      <c r="A9" s="39" t="n">
        <v>5</v>
      </c>
      <c r="B9" s="39" t="inlineStr">
        <is>
          <t>Finance</t>
        </is>
      </c>
      <c r="C9" s="39" t="inlineStr">
        <is>
          <t>EBITDA margin</t>
        </is>
      </c>
      <c r="D9" s="39" t="inlineStr">
        <is>
          <t>4,300 / 46,510 = 9.245%</t>
        </is>
      </c>
      <c r="E9" s="39" t="inlineStr">
        <is>
          <t>9.2%</t>
        </is>
      </c>
      <c r="F9" s="39" t="inlineStr">
        <is>
          <t>PASS</t>
        </is>
      </c>
      <c r="G9" s="39" t="n"/>
    </row>
    <row r="10" ht="15" customHeight="1">
      <c r="A10" s="39" t="n">
        <v>6</v>
      </c>
      <c r="B10" s="39" t="inlineStr">
        <is>
          <t>Finance</t>
        </is>
      </c>
      <c r="C10" s="39" t="inlineStr">
        <is>
          <t>Opex intensity</t>
        </is>
      </c>
      <c r="D10" s="39" t="inlineStr">
        <is>
          <t>7,480 / 46,510 = 16.08%</t>
        </is>
      </c>
      <c r="E10" s="39" t="inlineStr">
        <is>
          <t>16.1%</t>
        </is>
      </c>
      <c r="F10" s="39" t="inlineStr">
        <is>
          <t>PASS</t>
        </is>
      </c>
      <c r="G10" s="39" t="n"/>
    </row>
    <row r="11" ht="15" customHeight="1">
      <c r="A11" s="39" t="n">
        <v>7</v>
      </c>
      <c r="B11" s="39" t="inlineStr">
        <is>
          <t>Finance</t>
        </is>
      </c>
      <c r="C11" s="39" t="inlineStr">
        <is>
          <t>EBITDA waterfall closes</t>
        </is>
      </c>
      <c r="D11" s="39" t="inlineStr">
        <is>
          <t>7,200 + 1,341 - 1,491 - 390 - 1,880 - 480 = 4,300</t>
        </is>
      </c>
      <c r="E11" s="39" t="inlineStr">
        <is>
          <t>4,300</t>
        </is>
      </c>
      <c r="F11" s="39" t="inlineStr">
        <is>
          <t>PASS</t>
        </is>
      </c>
      <c r="G11" s="39" t="n"/>
    </row>
    <row r="12" ht="15" customHeight="1">
      <c r="A12" s="39" t="n">
        <v>8</v>
      </c>
      <c r="B12" s="39" t="inlineStr">
        <is>
          <t>Finance</t>
        </is>
      </c>
      <c r="C12" s="39" t="inlineStr">
        <is>
          <t>Opex table actual column sums</t>
        </is>
      </c>
      <c r="D12" s="39" t="inlineStr">
        <is>
          <t>1,650 + 3,300 + 760 + 850 + 920 = 7,480</t>
        </is>
      </c>
      <c r="E12" s="39" t="inlineStr">
        <is>
          <t>7,480</t>
        </is>
      </c>
      <c r="F12" s="39" t="inlineStr">
        <is>
          <t>PASS</t>
        </is>
      </c>
      <c r="G12" s="39" t="n"/>
    </row>
    <row r="13" ht="15" customHeight="1">
      <c r="A13" s="39" t="n">
        <v>9</v>
      </c>
      <c r="B13" s="39" t="inlineStr">
        <is>
          <t>Finance</t>
        </is>
      </c>
      <c r="C13" s="39" t="inlineStr">
        <is>
          <t>Opex table budget column sums</t>
        </is>
      </c>
      <c r="D13" s="39" t="inlineStr">
        <is>
          <t>1,400 + 3,200 + 700 + 800 + 900 = 7,000</t>
        </is>
      </c>
      <c r="E13" s="39" t="inlineStr">
        <is>
          <t>7,000</t>
        </is>
      </c>
      <c r="F13" s="39" t="inlineStr">
        <is>
          <t>PASS</t>
        </is>
      </c>
      <c r="G13" s="39" t="n"/>
    </row>
    <row r="14" ht="15" customHeight="1">
      <c r="A14" s="39" t="n">
        <v>10</v>
      </c>
      <c r="B14" s="39" t="inlineStr">
        <is>
          <t>Finance</t>
        </is>
      </c>
      <c r="C14" s="39" t="inlineStr">
        <is>
          <t>Opex variance ties to the waterfall step</t>
        </is>
      </c>
      <c r="D14" s="39" t="inlineStr">
        <is>
          <t>7,480 - 7,000 = 480, waterfall opex step = -480</t>
        </is>
      </c>
      <c r="E14" s="39" t="inlineStr">
        <is>
          <t>Matches</t>
        </is>
      </c>
      <c r="F14" s="39" t="inlineStr">
        <is>
          <t>PASS</t>
        </is>
      </c>
      <c r="G14" s="39" t="n"/>
    </row>
    <row r="15" ht="15" customHeight="1">
      <c r="A15" s="39" t="n">
        <v>11</v>
      </c>
      <c r="B15" s="39" t="inlineStr">
        <is>
          <t>Finance</t>
        </is>
      </c>
      <c r="C15" s="39" t="inlineStr">
        <is>
          <t>Product gross margin percentages</t>
        </is>
      </c>
      <c r="D15" s="39" t="inlineStr">
        <is>
          <t>4,550/19,110 = 23.81%, 4,930/13,600 = 36.25%, 2,300/13,800 = 16.67%</t>
        </is>
      </c>
      <c r="E15" s="39" t="inlineStr">
        <is>
          <t>23.8, 36.2, 16.7</t>
        </is>
      </c>
      <c r="F15" s="39" t="inlineStr">
        <is>
          <t>FAIL</t>
        </is>
      </c>
      <c r="G15" s="39" t="inlineStr">
        <is>
          <t>QC-027</t>
        </is>
      </c>
      <c r="H15" s="75" t="inlineStr">
        <is>
          <t>PASS</t>
        </is>
      </c>
      <c r="I15" s="76" t="inlineStr">
        <is>
          <t>Was 36.2 (banker's rounding). Now 23.8 / 36.3 / 16.7 - QC-027.</t>
        </is>
      </c>
    </row>
    <row r="16" ht="15" customHeight="1">
      <c r="A16" s="39" t="n">
        <v>12</v>
      </c>
      <c r="B16" s="39" t="inlineStr">
        <is>
          <t>Finance</t>
        </is>
      </c>
      <c r="C16" s="39" t="inlineStr">
        <is>
          <t>Opex ratio in the alert</t>
        </is>
      </c>
      <c r="D16" s="39" t="inlineStr">
        <is>
          <t>7,000/46,000 = 15.22% budget, 7,480/46,510 = 16.08% actual</t>
        </is>
      </c>
      <c r="E16" s="39" t="inlineStr">
        <is>
          <t>15.2% to 16.1%</t>
        </is>
      </c>
      <c r="F16" s="39" t="inlineStr">
        <is>
          <t>PASS</t>
        </is>
      </c>
      <c r="G16" s="39" t="n"/>
    </row>
    <row r="17" ht="15" customHeight="1">
      <c r="A17" s="39" t="n">
        <v>13</v>
      </c>
      <c r="B17" s="39" t="inlineStr">
        <is>
          <t>Finance</t>
        </is>
      </c>
      <c r="C17" s="39" t="inlineStr">
        <is>
          <t>Revenue growth in the alert</t>
        </is>
      </c>
      <c r="D17" s="39" t="inlineStr">
        <is>
          <t>510 / 46,000 = 1.11%. Opex growth 480 / 7,000 = 6.86%</t>
        </is>
      </c>
      <c r="E17" s="39" t="inlineStr">
        <is>
          <t>1.1% vs 6.9%</t>
        </is>
      </c>
      <c r="F17" s="39" t="inlineStr">
        <is>
          <t>PASS</t>
        </is>
      </c>
      <c r="G17" s="39" t="n"/>
    </row>
    <row r="18" ht="15" customHeight="1">
      <c r="A18" s="39" t="n">
        <v>14</v>
      </c>
      <c r="B18" s="39" t="inlineStr">
        <is>
          <t>Finance</t>
        </is>
      </c>
      <c r="C18" s="39" t="inlineStr">
        <is>
          <t>Budget gross margin implied by the alert</t>
        </is>
      </c>
      <c r="D18" s="39" t="inlineStr">
        <is>
          <t>25.3% + 5.5pt = 30.8%. Budget GM 14,200 / 46,000 = 30.87%</t>
        </is>
      </c>
      <c r="E18" s="39" t="inlineStr">
        <is>
          <t>Consistent</t>
        </is>
      </c>
      <c r="F18" s="39" t="inlineStr">
        <is>
          <t>PASS</t>
        </is>
      </c>
      <c r="G18" s="39" t="n"/>
    </row>
    <row r="19" ht="23.25" customHeight="1">
      <c r="A19" s="39" t="n">
        <v>15</v>
      </c>
      <c r="B19" s="39" t="inlineStr">
        <is>
          <t>Finance</t>
        </is>
      </c>
      <c r="C19" s="39" t="inlineStr">
        <is>
          <t>Budget EBITDA margin</t>
        </is>
      </c>
      <c r="D19" s="39" t="inlineStr">
        <is>
          <t>7,200 / 46,000 = 15.65%</t>
        </is>
      </c>
      <c r="E19" s="39" t="inlineStr">
        <is>
          <t>Alert says 15.7%, gauge says 15%</t>
        </is>
      </c>
      <c r="F19" s="39" t="inlineStr">
        <is>
          <t>FAIL</t>
        </is>
      </c>
      <c r="G19" s="39" t="inlineStr">
        <is>
          <t>QC-009</t>
        </is>
      </c>
      <c r="H19" s="75" t="inlineStr">
        <is>
          <t>PASS</t>
        </is>
      </c>
      <c r="I19" s="76" t="inlineStr">
        <is>
          <t>One target everywhere: 15.7% from the budget row - QC-009.</t>
        </is>
      </c>
    </row>
    <row r="20" ht="15" customHeight="1">
      <c r="A20" s="39" t="n">
        <v>16</v>
      </c>
      <c r="B20" s="39" t="inlineStr">
        <is>
          <t>Finance</t>
        </is>
      </c>
      <c r="C20" s="39" t="inlineStr">
        <is>
          <t>Unit price decline is internally consistent</t>
        </is>
      </c>
      <c r="D20" s="39" t="inlineStr">
        <is>
          <t>127.7k - 118.0k = 9.7k, and 9.7 / 127.7 = 7.6%</t>
        </is>
      </c>
      <c r="E20" s="39" t="inlineStr">
        <is>
          <t>Consistent</t>
        </is>
      </c>
      <c r="F20" s="39" t="inlineStr">
        <is>
          <t>PASS</t>
        </is>
      </c>
      <c r="G20" s="39" t="n"/>
    </row>
    <row r="21" ht="15" customHeight="1">
      <c r="A21" s="39" t="n">
        <v>17</v>
      </c>
      <c r="B21" s="39" t="inlineStr">
        <is>
          <t>Finance</t>
        </is>
      </c>
      <c r="C21" s="39" t="inlineStr">
        <is>
          <t>Price variance is consistent with the price decline</t>
        </is>
      </c>
      <c r="D21" s="39" t="inlineStr">
        <is>
          <t>A 7.6% decline on 46,510 revenue implies roughly -3,800 mn, not -390 mn</t>
        </is>
      </c>
      <c r="E21" s="39" t="inlineStr">
        <is>
          <t>-390</t>
        </is>
      </c>
      <c r="F21" s="39" t="inlineStr">
        <is>
          <t>FAIL</t>
        </is>
      </c>
      <c r="G21" s="39" t="inlineStr">
        <is>
          <t>QC-010</t>
        </is>
      </c>
    </row>
    <row r="22" ht="15" customHeight="1">
      <c r="A22" s="39" t="n">
        <v>18</v>
      </c>
      <c r="B22" s="39" t="inlineStr">
        <is>
          <t>Finance</t>
        </is>
      </c>
      <c r="C22" s="39" t="inlineStr">
        <is>
          <t>Margin KPI progress</t>
        </is>
      </c>
      <c r="D22" s="39" t="inlineStr">
        <is>
          <t>9.2 / 15 = 0.6133</t>
        </is>
      </c>
      <c r="E22" s="39" t="inlineStr">
        <is>
          <t>0.6133</t>
        </is>
      </c>
      <c r="F22" s="39" t="inlineStr">
        <is>
          <t>PASS</t>
        </is>
      </c>
      <c r="G22" s="39" t="n"/>
      <c r="H22" s="77" t="inlineStr">
        <is>
          <t>REVIEW</t>
        </is>
      </c>
      <c r="I22" s="76" t="inlineStr">
        <is>
          <t>Expected value is now stale. With a single target the progress is 9.2 / 15.65 = 0.586, not 9.2 / 15 = 0.6133. The formula (value / target) is unchanged; only the constant moved.</t>
        </is>
      </c>
    </row>
    <row r="23" ht="15" customHeight="1">
      <c r="A23" s="39" t="n">
        <v>19</v>
      </c>
      <c r="B23" s="39" t="inlineStr">
        <is>
          <t>Collection</t>
        </is>
      </c>
      <c r="C23" s="39" t="inlineStr">
        <is>
          <t>Ageing buckets sum to total AR</t>
        </is>
      </c>
      <c r="D23" s="39" t="inlineStr">
        <is>
          <t>72,065 + 23,935 + 10,300 + 2,700 + 1,000 = 110,000</t>
        </is>
      </c>
      <c r="E23" s="39" t="inlineStr">
        <is>
          <t>110,000</t>
        </is>
      </c>
      <c r="F23" s="39" t="inlineStr">
        <is>
          <t>PASS</t>
        </is>
      </c>
      <c r="G23" s="39" t="n"/>
    </row>
    <row r="24" ht="15" customHeight="1">
      <c r="A24" s="39" t="n">
        <v>20</v>
      </c>
      <c r="B24" s="39" t="inlineStr">
        <is>
          <t>Collection</t>
        </is>
      </c>
      <c r="C24" s="39" t="inlineStr">
        <is>
          <t>Overdue equals AR less current</t>
        </is>
      </c>
      <c r="D24" s="39" t="inlineStr">
        <is>
          <t>110,000 - 72,065 = 37,935</t>
        </is>
      </c>
      <c r="E24" s="39" t="inlineStr">
        <is>
          <t>37,935</t>
        </is>
      </c>
      <c r="F24" s="39" t="inlineStr">
        <is>
          <t>PASS</t>
        </is>
      </c>
      <c r="G24" s="39" t="n"/>
    </row>
    <row r="25" ht="15" customHeight="1">
      <c r="A25" s="39" t="n">
        <v>21</v>
      </c>
      <c r="B25" s="39" t="inlineStr">
        <is>
          <t>Collection</t>
        </is>
      </c>
      <c r="C25" s="39" t="inlineStr">
        <is>
          <t>Overdue share</t>
        </is>
      </c>
      <c r="D25" s="39" t="inlineStr">
        <is>
          <t>37,935 / 110,000 = 34.49%</t>
        </is>
      </c>
      <c r="E25" s="39" t="inlineStr">
        <is>
          <t>34%</t>
        </is>
      </c>
      <c r="F25" s="39" t="inlineStr">
        <is>
          <t>PASS</t>
        </is>
      </c>
      <c r="G25" s="39" t="n"/>
    </row>
    <row r="26" ht="15" customHeight="1">
      <c r="A26" s="39" t="n">
        <v>22</v>
      </c>
      <c r="B26" s="39" t="inlineStr">
        <is>
          <t>Collection</t>
        </is>
      </c>
      <c r="C26" s="39" t="inlineStr">
        <is>
          <t>Daily credit sales</t>
        </is>
      </c>
      <c r="D26" s="39" t="inlineStr">
        <is>
          <t>700,000 / 365 = 1,917.81</t>
        </is>
      </c>
      <c r="E26" s="39" t="inlineStr">
        <is>
          <t>1,917.81</t>
        </is>
      </c>
      <c r="F26" s="39" t="inlineStr">
        <is>
          <t>PASS</t>
        </is>
      </c>
      <c r="G26" s="39" t="n"/>
    </row>
    <row r="27" ht="15" customHeight="1">
      <c r="A27" s="39" t="n">
        <v>23</v>
      </c>
      <c r="B27" s="39" t="inlineStr">
        <is>
          <t>Collection</t>
        </is>
      </c>
      <c r="C27" s="39" t="inlineStr">
        <is>
          <t>DSO</t>
        </is>
      </c>
      <c r="D27" s="39" t="inlineStr">
        <is>
          <t>110,000 / 1,917.81 = 57.36 days</t>
        </is>
      </c>
      <c r="E27" s="39" t="inlineStr">
        <is>
          <t>57.36</t>
        </is>
      </c>
      <c r="F27" s="39" t="inlineStr">
        <is>
          <t>PASS</t>
        </is>
      </c>
      <c r="G27" s="39" t="n"/>
    </row>
    <row r="28" ht="15" customHeight="1">
      <c r="A28" s="39" t="n">
        <v>24</v>
      </c>
      <c r="B28" s="39" t="inlineStr">
        <is>
          <t>Collection</t>
        </is>
      </c>
      <c r="C28" s="39" t="inlineStr">
        <is>
          <t>Cash freed at target</t>
        </is>
      </c>
      <c r="D28" s="39" t="inlineStr">
        <is>
          <t>(57.357 - 47) x 1,917.81 = 19,863</t>
        </is>
      </c>
      <c r="E28" s="39" t="inlineStr">
        <is>
          <t>19,863</t>
        </is>
      </c>
      <c r="F28" s="39" t="inlineStr">
        <is>
          <t>PASS</t>
        </is>
      </c>
      <c r="G28" s="39" t="n"/>
    </row>
    <row r="29" ht="15" customHeight="1">
      <c r="A29" s="39" t="n">
        <v>25</v>
      </c>
      <c r="B29" s="39" t="inlineStr">
        <is>
          <t>Collection</t>
        </is>
      </c>
      <c r="C29" s="39" t="inlineStr">
        <is>
          <t>Risk tiers sum to total AR</t>
        </is>
      </c>
      <c r="D29" s="39" t="inlineStr">
        <is>
          <t>65,500 + 39,500 + 5,000 = 110,000</t>
        </is>
      </c>
      <c r="E29" s="39" t="inlineStr">
        <is>
          <t>110,000</t>
        </is>
      </c>
      <c r="F29" s="39" t="inlineStr">
        <is>
          <t>PASS</t>
        </is>
      </c>
      <c r="G29" s="39" t="n"/>
    </row>
    <row r="30" ht="15" customHeight="1">
      <c r="A30" s="39" t="n">
        <v>26</v>
      </c>
      <c r="B30" s="39" t="inlineStr">
        <is>
          <t>Collection</t>
        </is>
      </c>
      <c r="C30" s="39" t="inlineStr">
        <is>
          <t>Worklist expected recovery per row</t>
        </is>
      </c>
      <c r="D30" s="39" t="inlineStr">
        <is>
          <t>Every row equals overdue x tier rate: High 40%, Medium 85%, Low 95%</t>
        </is>
      </c>
      <c r="E30" s="39" t="inlineStr">
        <is>
          <t>All 8 rows correct</t>
        </is>
      </c>
      <c r="F30" s="39" t="inlineStr">
        <is>
          <t>PASS</t>
        </is>
      </c>
      <c r="G30" s="39" t="n"/>
    </row>
    <row r="31" ht="15" customHeight="1">
      <c r="A31" s="39" t="n">
        <v>27</v>
      </c>
      <c r="B31" s="39" t="inlineStr">
        <is>
          <t>Collection</t>
        </is>
      </c>
      <c r="C31" s="39" t="inlineStr">
        <is>
          <t>Option 1 DSO</t>
        </is>
      </c>
      <c r="D31" s="39" t="inlineStr">
        <is>
          <t>(110,000 - 8,500) / 1,917.81 = 52.9 days</t>
        </is>
      </c>
      <c r="E31" s="39" t="inlineStr">
        <is>
          <t>53d</t>
        </is>
      </c>
      <c r="F31" s="39" t="inlineStr">
        <is>
          <t>PASS</t>
        </is>
      </c>
      <c r="G31" s="39" t="n"/>
    </row>
    <row r="32" ht="15" customHeight="1">
      <c r="A32" s="39" t="n">
        <v>28</v>
      </c>
      <c r="B32" s="39" t="inlineStr">
        <is>
          <t>Collection</t>
        </is>
      </c>
      <c r="C32" s="39" t="inlineStr">
        <is>
          <t>Option 2 DSO</t>
        </is>
      </c>
      <c r="D32" s="39" t="inlineStr">
        <is>
          <t>(110,000 - 21,300) / 1,917.81 = 46.2 days</t>
        </is>
      </c>
      <c r="E32" s="39" t="inlineStr">
        <is>
          <t>46d</t>
        </is>
      </c>
      <c r="F32" s="39" t="inlineStr">
        <is>
          <t>PASS</t>
        </is>
      </c>
      <c r="G32" s="39" t="n"/>
    </row>
    <row r="33" ht="15" customHeight="1">
      <c r="A33" s="39" t="n">
        <v>29</v>
      </c>
      <c r="B33" s="39" t="inlineStr">
        <is>
          <t>Collection</t>
        </is>
      </c>
      <c r="C33" s="39" t="inlineStr">
        <is>
          <t>Option 3 amount</t>
        </is>
      </c>
      <c r="D33" s="39" t="inlineStr">
        <is>
          <t>Worklist recoveries 29,375 plus residual overdue 2,935 at 95% = 32,163.25</t>
        </is>
      </c>
      <c r="E33" s="39" t="inlineStr">
        <is>
          <t>32,163.25</t>
        </is>
      </c>
      <c r="F33" s="39" t="inlineStr">
        <is>
          <t>PASS</t>
        </is>
      </c>
      <c r="G33" s="39" t="n"/>
    </row>
    <row r="34" ht="15" customHeight="1">
      <c r="A34" s="39" t="n">
        <v>30</v>
      </c>
      <c r="B34" s="39" t="inlineStr">
        <is>
          <t>Collection</t>
        </is>
      </c>
      <c r="C34" s="39" t="inlineStr">
        <is>
          <t>Option 3 DSO</t>
        </is>
      </c>
      <c r="D34" s="39" t="inlineStr">
        <is>
          <t>(110,000 - 32,163.25) / 1,917.81 = 40.6 days</t>
        </is>
      </c>
      <c r="E34" s="39" t="inlineStr">
        <is>
          <t>41d</t>
        </is>
      </c>
      <c r="F34" s="39" t="inlineStr">
        <is>
          <t>PASS</t>
        </is>
      </c>
      <c r="G34" s="39" t="n"/>
    </row>
    <row r="35" ht="15" customHeight="1">
      <c r="A35" s="39" t="n">
        <v>31</v>
      </c>
      <c r="B35" s="39" t="inlineStr">
        <is>
          <t>Collection</t>
        </is>
      </c>
      <c r="C35" s="39" t="inlineStr">
        <is>
          <t>Top-5 concentration in the alert</t>
        </is>
      </c>
      <c r="D35" s="39" t="inlineStr">
        <is>
          <t>Top 5 by amount 27,000 / 37,935 = 71.17%</t>
        </is>
      </c>
      <c r="E35" s="39" t="inlineStr">
        <is>
          <t>71.17%</t>
        </is>
      </c>
      <c r="F35" s="39" t="inlineStr">
        <is>
          <t>PASS</t>
        </is>
      </c>
      <c r="G35" s="39" t="n"/>
    </row>
    <row r="36" ht="15" customHeight="1">
      <c r="A36" s="39" t="n">
        <v>32</v>
      </c>
      <c r="B36" s="39" t="inlineStr">
        <is>
          <t>Collection</t>
        </is>
      </c>
      <c r="C36" s="39" t="inlineStr">
        <is>
          <t>Top-5 is used consistently</t>
        </is>
      </c>
      <c r="D36" s="39" t="inlineStr">
        <is>
          <t>Three different top-5 sets appear: 21,300, 27,000 and 23,225</t>
        </is>
      </c>
      <c r="E36" s="39" t="inlineStr">
        <is>
          <t>Inconsistent</t>
        </is>
      </c>
      <c r="F36" s="39" t="inlineStr">
        <is>
          <t>FAIL</t>
        </is>
      </c>
      <c r="G36" s="39" t="inlineStr">
        <is>
          <t>QC-008</t>
        </is>
      </c>
    </row>
    <row r="37" ht="15" customHeight="1">
      <c r="A37" s="39" t="n">
        <v>33</v>
      </c>
      <c r="B37" s="39" t="inlineStr">
        <is>
          <t>Collection</t>
        </is>
      </c>
      <c r="C37" s="39" t="inlineStr">
        <is>
          <t>Medium and high tier share</t>
        </is>
      </c>
      <c r="D37" s="39" t="inlineStr">
        <is>
          <t>(39,500 + 5,000) / 110,000 = 40.45%</t>
        </is>
      </c>
      <c r="E37" s="39" t="inlineStr">
        <is>
          <t>40.45%</t>
        </is>
      </c>
      <c r="F37" s="39" t="inlineStr">
        <is>
          <t>PASS</t>
        </is>
      </c>
      <c r="G37" s="39" t="n"/>
    </row>
    <row r="38" ht="15" customHeight="1">
      <c r="A38" s="39" t="n">
        <v>34</v>
      </c>
      <c r="B38" s="39" t="inlineStr">
        <is>
          <t>Collection</t>
        </is>
      </c>
      <c r="C38" s="39" t="inlineStr">
        <is>
          <t>Top-2 overdue share</t>
        </is>
      </c>
      <c r="D38" s="39" t="inlineStr">
        <is>
          <t>16,500 / 37,935 = 43.50%</t>
        </is>
      </c>
      <c r="E38" s="39" t="inlineStr">
        <is>
          <t>43.5%</t>
        </is>
      </c>
      <c r="F38" s="39" t="inlineStr">
        <is>
          <t>PASS</t>
        </is>
      </c>
      <c r="G38" s="39" t="n"/>
    </row>
    <row r="39" ht="15" customHeight="1">
      <c r="A39" s="39" t="n">
        <v>35</v>
      </c>
      <c r="B39" s="39" t="inlineStr">
        <is>
          <t>Collection</t>
        </is>
      </c>
      <c r="C39" s="39" t="inlineStr">
        <is>
          <t>High-risk KPI matches the tier chart</t>
        </is>
      </c>
      <c r="D39" s="39" t="inlineStr">
        <is>
          <t>KPI 2,500 vs chart High 5,000</t>
        </is>
      </c>
      <c r="E39" s="39" t="inlineStr">
        <is>
          <t>Mismatch</t>
        </is>
      </c>
      <c r="F39" s="39" t="inlineStr">
        <is>
          <t>FAIL</t>
        </is>
      </c>
      <c r="G39" s="39" t="inlineStr">
        <is>
          <t>QC-007</t>
        </is>
      </c>
      <c r="H39" s="75" t="inlineStr">
        <is>
          <t>PASS</t>
        </is>
      </c>
      <c r="I39" s="76" t="inlineStr">
        <is>
          <t>Card now shows the High tier exposure 5,000 = chart bar - QC-007.</t>
        </is>
      </c>
    </row>
    <row r="40" ht="15" customHeight="1">
      <c r="A40" s="39" t="n">
        <v>36</v>
      </c>
      <c r="B40" s="39" t="inlineStr">
        <is>
          <t>Collection</t>
        </is>
      </c>
      <c r="C40" s="39" t="inlineStr">
        <is>
          <t>Action DSO impact matches its own amount</t>
        </is>
      </c>
      <c r="D40" s="39" t="inlineStr">
        <is>
          <t>20,000 / 1,917.81 = 10.43 days, card claims 5.21 days</t>
        </is>
      </c>
      <c r="E40" s="39" t="inlineStr">
        <is>
          <t>Mismatch</t>
        </is>
      </c>
      <c r="F40" s="39" t="inlineStr">
        <is>
          <t>FAIL</t>
        </is>
      </c>
      <c r="G40" s="39" t="inlineStr">
        <is>
          <t>QC-016</t>
        </is>
      </c>
    </row>
    <row r="41" ht="15" customHeight="1">
      <c r="A41" s="39" t="n">
        <v>37</v>
      </c>
      <c r="B41" s="39" t="inlineStr">
        <is>
          <t>Leakage</t>
        </is>
      </c>
      <c r="C41" s="39" t="inlineStr">
        <is>
          <t>At risk equals the category sum</t>
        </is>
      </c>
      <c r="D41" s="39" t="inlineStr">
        <is>
          <t>3,800 + 3,050 + 400 + 500 + 95 = 7,845</t>
        </is>
      </c>
      <c r="E41" s="39" t="inlineStr">
        <is>
          <t>7,845</t>
        </is>
      </c>
      <c r="F41" s="39" t="inlineStr">
        <is>
          <t>PASS</t>
        </is>
      </c>
      <c r="G41" s="39" t="n"/>
      <c r="H41" s="75" t="inlineStr">
        <is>
          <t>PASS</t>
        </is>
      </c>
      <c r="I41" s="76" t="inlineStr">
        <is>
          <t>Still PASS. The chart now shows overbilling as one 900 category; 400 recoverable + 500 blocked is that same 900 split by payment status. Both decompositions total 7,845.</t>
        </is>
      </c>
    </row>
    <row r="42" ht="15" customHeight="1">
      <c r="A42" s="39" t="n">
        <v>38</v>
      </c>
      <c r="B42" s="39" t="inlineStr">
        <is>
          <t>Leakage</t>
        </is>
      </c>
      <c r="C42" s="39" t="inlineStr">
        <is>
          <t>Blocked, recoverable and lost sum to at risk</t>
        </is>
      </c>
      <c r="D42" s="39" t="inlineStr">
        <is>
          <t>4,300 + 3,450 + 95 = 7,845</t>
        </is>
      </c>
      <c r="E42" s="39" t="inlineStr">
        <is>
          <t>7,845</t>
        </is>
      </c>
      <c r="F42" s="39" t="inlineStr">
        <is>
          <t>PASS</t>
        </is>
      </c>
      <c r="G42" s="39" t="n"/>
    </row>
    <row r="43" ht="15" customHeight="1">
      <c r="A43" s="39" t="n">
        <v>39</v>
      </c>
      <c r="B43" s="39" t="inlineStr">
        <is>
          <t>Leakage</t>
        </is>
      </c>
      <c r="C43" s="39" t="inlineStr">
        <is>
          <t>Blocked equals fraud plus other blocked</t>
        </is>
      </c>
      <c r="D43" s="39" t="inlineStr">
        <is>
          <t>3,800 + 500 = 4,300</t>
        </is>
      </c>
      <c r="E43" s="39" t="inlineStr">
        <is>
          <t>4,300</t>
        </is>
      </c>
      <c r="F43" s="39" t="inlineStr">
        <is>
          <t>PASS</t>
        </is>
      </c>
      <c r="G43" s="39" t="n"/>
    </row>
    <row r="44" ht="15" customHeight="1">
      <c r="A44" s="39" t="n">
        <v>40</v>
      </c>
      <c r="B44" s="39" t="inlineStr">
        <is>
          <t>Leakage</t>
        </is>
      </c>
      <c r="C44" s="39" t="inlineStr">
        <is>
          <t>Recoverable equals duplicates plus overbilling</t>
        </is>
      </c>
      <c r="D44" s="39" t="inlineStr">
        <is>
          <t>3,050 + 400 = 3,450</t>
        </is>
      </c>
      <c r="E44" s="39" t="inlineStr">
        <is>
          <t>3,450</t>
        </is>
      </c>
      <c r="F44" s="39" t="inlineStr">
        <is>
          <t>PASS</t>
        </is>
      </c>
      <c r="G44" s="39" t="n"/>
    </row>
    <row r="45" ht="15" customHeight="1">
      <c r="A45" s="39" t="n">
        <v>41</v>
      </c>
      <c r="B45" s="39" t="inlineStr">
        <is>
          <t>Leakage</t>
        </is>
      </c>
      <c r="C45" s="39" t="inlineStr">
        <is>
          <t>Recovery scenario bars</t>
        </is>
      </c>
      <c r="D45" s="39" t="inlineStr">
        <is>
          <t>4,300 + 3,450 x 60% = 6,370. x 80% = 7,060. x 95% = 7,577.5</t>
        </is>
      </c>
      <c r="E45" s="39" t="inlineStr">
        <is>
          <t>All three correct</t>
        </is>
      </c>
      <c r="F45" s="39" t="inlineStr">
        <is>
          <t>PASS</t>
        </is>
      </c>
      <c r="G45" s="39" t="n"/>
      <c r="H45" s="75" t="inlineStr">
        <is>
          <t>PASS</t>
        </is>
      </c>
      <c r="I45" s="76" t="inlineStr">
        <is>
          <t>Verified live: 6,370 / 7,060 / 7,557.5.</t>
        </is>
      </c>
    </row>
    <row r="46" ht="15" customHeight="1">
      <c r="A46" s="39" t="n">
        <v>42</v>
      </c>
      <c r="B46" s="39" t="inlineStr">
        <is>
          <t>Leakage</t>
        </is>
      </c>
      <c r="C46" s="39" t="inlineStr">
        <is>
          <t>Total protected at the simulator defaults</t>
        </is>
      </c>
      <c r="D46" s="39" t="inlineStr">
        <is>
          <t>3,800 + 500 + 3,050x95% + 400x90% = 7,557.5</t>
        </is>
      </c>
      <c r="E46" s="39" t="inlineStr">
        <is>
          <t>7,557.5</t>
        </is>
      </c>
      <c r="F46" s="39" t="inlineStr">
        <is>
          <t>PASS</t>
        </is>
      </c>
      <c r="G46" s="39" t="n"/>
    </row>
    <row r="47" ht="15" customHeight="1">
      <c r="A47" s="39" t="n">
        <v>43</v>
      </c>
      <c r="B47" s="39" t="inlineStr">
        <is>
          <t>Leakage</t>
        </is>
      </c>
      <c r="C47" s="39" t="inlineStr">
        <is>
          <t>The bar labelled 'Current' matches the current position</t>
        </is>
      </c>
      <c r="D47" s="39" t="inlineStr">
        <is>
          <t>Chart 'Current 95%' = 4,300 + 3,450 x 95% = 7,577.5. Actual current = 4,300 + 3,050 x 95% + 400 x 90% = 7,557.5</t>
        </is>
      </c>
      <c r="E47" s="39" t="inlineStr">
        <is>
          <t>7,577.5 vs 7,557.5, gap 20</t>
        </is>
      </c>
      <c r="F47" s="39" t="inlineStr">
        <is>
          <t>FAIL</t>
        </is>
      </c>
      <c r="G47" s="39" t="inlineStr">
        <is>
          <t>QC-013</t>
        </is>
      </c>
      <c r="H47" s="75" t="inlineStr">
        <is>
          <t>PASS</t>
        </is>
      </c>
      <c r="I47" s="76" t="inlineStr">
        <is>
          <t>Bar reuses the card value, so the 20 mn gap cannot recur - QC-013.</t>
        </is>
      </c>
    </row>
    <row r="48" ht="15" customHeight="1">
      <c r="A48" s="39" t="n">
        <v>44</v>
      </c>
      <c r="B48" s="39" t="inlineStr">
        <is>
          <t>Leakage</t>
        </is>
      </c>
      <c r="C48" s="39" t="inlineStr">
        <is>
          <t>Flag count matches the tables</t>
        </is>
      </c>
      <c r="D48" s="39" t="inlineStr">
        <is>
          <t>KPI says 22, tables show 10</t>
        </is>
      </c>
      <c r="E48" s="39" t="inlineStr">
        <is>
          <t>Mismatch</t>
        </is>
      </c>
      <c r="F48" s="39" t="inlineStr">
        <is>
          <t>FAIL</t>
        </is>
      </c>
      <c r="G48" s="39" t="inlineStr">
        <is>
          <t>QC-014</t>
        </is>
      </c>
      <c r="H48" s="75" t="inlineStr">
        <is>
          <t>PASS</t>
        </is>
      </c>
      <c r="I48" s="76" t="inlineStr">
        <is>
          <t>KPI reads summary.items_flagged; both surfaces say 10 - QC-014.</t>
        </is>
      </c>
    </row>
    <row r="49" ht="15" customHeight="1">
      <c r="A49" s="39" t="n">
        <v>45</v>
      </c>
      <c r="B49" s="39" t="inlineStr">
        <is>
          <t>Leakage</t>
        </is>
      </c>
      <c r="C49" s="39" t="inlineStr">
        <is>
          <t>Split invoices are inside the at-risk total</t>
        </is>
      </c>
      <c r="D49" s="39" t="inlineStr">
        <is>
          <t>1,950 reported in an alert but absent from 7,845</t>
        </is>
      </c>
      <c r="E49" s="39" t="inlineStr">
        <is>
          <t>Excluded</t>
        </is>
      </c>
      <c r="F49" s="39" t="inlineStr">
        <is>
          <t>FAIL</t>
        </is>
      </c>
      <c r="G49" s="39" t="inlineStr">
        <is>
          <t>QC-015</t>
        </is>
      </c>
      <c r="H49" s="77" t="inlineStr">
        <is>
          <t>PARTLY</t>
        </is>
      </c>
      <c r="I49" s="76" t="inlineStr">
        <is>
          <t>Dashboard side resolved: control weaknesses are out of the category charts and the 1,950 is named in the note. Alert wording still to be checked - QC-015.</t>
        </is>
      </c>
    </row>
    <row r="50" ht="15" customHeight="1">
      <c r="A50" s="39" t="n">
        <v>46</v>
      </c>
      <c r="B50" s="39" t="inlineStr">
        <is>
          <t>Leakage</t>
        </is>
      </c>
      <c r="C50" s="39" t="inlineStr">
        <is>
          <t>Vendor score formula</t>
        </is>
      </c>
      <c r="D50" s="39" t="inlineStr">
        <is>
          <t>Every vendor scores flags x 20, ignoring amount and severity</t>
        </is>
      </c>
      <c r="E50" s="39" t="inlineStr">
        <is>
          <t>Weak model</t>
        </is>
      </c>
      <c r="F50" s="39" t="inlineStr">
        <is>
          <t>FAIL</t>
        </is>
      </c>
      <c r="G50" s="39" t="inlineStr">
        <is>
          <t>QC-046</t>
        </is>
      </c>
      <c r="H50" s="75" t="inlineStr">
        <is>
          <t>PASS</t>
        </is>
      </c>
      <c r="I50" s="76" t="inlineStr">
        <is>
          <t>Score now weights amount and severity - QC-046.</t>
        </is>
      </c>
    </row>
    <row r="51" ht="15" customHeight="1">
      <c r="A51" s="39" t="n">
        <v>47</v>
      </c>
      <c r="B51" s="39" t="inlineStr">
        <is>
          <t>Leakage</t>
        </is>
      </c>
      <c r="C51" s="39" t="inlineStr">
        <is>
          <t>Duplicate share of paid leakage</t>
        </is>
      </c>
      <c r="D51" s="39" t="inlineStr">
        <is>
          <t>3,050 / (3,050 + 400) = 88.4%</t>
        </is>
      </c>
      <c r="E51" s="39" t="inlineStr">
        <is>
          <t>88%</t>
        </is>
      </c>
      <c r="F51" s="39" t="inlineStr">
        <is>
          <t>PASS</t>
        </is>
      </c>
      <c r="G51" s="39" t="n"/>
    </row>
    <row r="52" ht="15" customHeight="1">
      <c r="A52" s="39" t="n">
        <v>48</v>
      </c>
      <c r="B52" s="39" t="inlineStr">
        <is>
          <t>Treasury</t>
        </is>
      </c>
      <c r="C52" s="39" t="inlineStr">
        <is>
          <t>Week 5 headroom</t>
        </is>
      </c>
      <c r="D52" s="39" t="inlineStr">
        <is>
          <t>6,997.5 - 8,000 = -1,002.5</t>
        </is>
      </c>
      <c r="E52" s="39" t="inlineStr">
        <is>
          <t>-1,002</t>
        </is>
      </c>
      <c r="F52" s="39" t="inlineStr">
        <is>
          <t>PASS</t>
        </is>
      </c>
      <c r="G52" s="39" t="n"/>
    </row>
    <row r="53" ht="15" customHeight="1">
      <c r="A53" s="39" t="n">
        <v>49</v>
      </c>
      <c r="B53" s="39" t="inlineStr">
        <is>
          <t>Treasury</t>
        </is>
      </c>
      <c r="C53" s="39" t="inlineStr">
        <is>
          <t>Week 6 headroom</t>
        </is>
      </c>
      <c r="D53" s="39" t="inlineStr">
        <is>
          <t>9,012.5 - 8,000 = 1,012.5</t>
        </is>
      </c>
      <c r="E53" s="39" t="inlineStr">
        <is>
          <t>1,012.5</t>
        </is>
      </c>
      <c r="F53" s="39" t="inlineStr">
        <is>
          <t>PASS</t>
        </is>
      </c>
      <c r="G53" s="39" t="n"/>
    </row>
    <row r="54" ht="15" customHeight="1">
      <c r="A54" s="39" t="n">
        <v>50</v>
      </c>
      <c r="B54" s="39" t="inlineStr">
        <is>
          <t>Treasury</t>
        </is>
      </c>
      <c r="C54" s="39" t="inlineStr">
        <is>
          <t>Week 7 headroom</t>
        </is>
      </c>
      <c r="D54" s="39" t="inlineStr">
        <is>
          <t>21,112.5 - 8,000 = 13,112.5</t>
        </is>
      </c>
      <c r="E54" s="39" t="inlineStr">
        <is>
          <t>13,112.5</t>
        </is>
      </c>
      <c r="F54" s="39" t="inlineStr">
        <is>
          <t>PASS</t>
        </is>
      </c>
      <c r="G54" s="39" t="n"/>
    </row>
    <row r="55" ht="15" customHeight="1">
      <c r="A55" s="39" t="n">
        <v>51</v>
      </c>
      <c r="B55" s="39" t="inlineStr">
        <is>
          <t>Treasury</t>
        </is>
      </c>
      <c r="C55" s="39" t="inlineStr">
        <is>
          <t>Adverse rate implied by the FX loss</t>
        </is>
      </c>
      <c r="D55" s="39" t="inlineStr">
        <is>
          <t>1,777.05 mn / 3.3m USD = 538.5 IDR per USD move. 17,950 + 538.5 = 18,488.5</t>
        </is>
      </c>
      <c r="E55" s="39" t="inlineStr">
        <is>
          <t>18,488.5</t>
        </is>
      </c>
      <c r="F55" s="39" t="inlineStr">
        <is>
          <t>PASS</t>
        </is>
      </c>
      <c r="G55" s="39" t="n"/>
    </row>
    <row r="56" ht="15" customHeight="1">
      <c r="A56" s="39" t="n">
        <v>52</v>
      </c>
      <c r="B56" s="39" t="inlineStr">
        <is>
          <t>Treasury</t>
        </is>
      </c>
      <c r="C56" s="39" t="inlineStr">
        <is>
          <t>Loss avoided by the recommended hedge</t>
        </is>
      </c>
      <c r="D56" s="39" t="inlineStr">
        <is>
          <t>2,000,000 x 538.5 = 1,077 mn</t>
        </is>
      </c>
      <c r="E56" s="39" t="inlineStr">
        <is>
          <t>1,077</t>
        </is>
      </c>
      <c r="F56" s="39" t="inlineStr">
        <is>
          <t>PASS</t>
        </is>
      </c>
      <c r="G56" s="39" t="n"/>
    </row>
    <row r="57" ht="15" customHeight="1">
      <c r="A57" s="39" t="n">
        <v>53</v>
      </c>
      <c r="B57" s="39" t="inlineStr">
        <is>
          <t>Treasury</t>
        </is>
      </c>
      <c r="C57" s="39" t="inlineStr">
        <is>
          <t>Forward premium</t>
        </is>
      </c>
      <c r="D57" s="39" t="inlineStr">
        <is>
          <t>2,000,000 x 170 = 340 mn</t>
        </is>
      </c>
      <c r="E57" s="39" t="inlineStr">
        <is>
          <t>340</t>
        </is>
      </c>
      <c r="F57" s="39" t="inlineStr">
        <is>
          <t>PASS</t>
        </is>
      </c>
      <c r="G57" s="39" t="n"/>
    </row>
    <row r="58" ht="15" customHeight="1">
      <c r="A58" s="39" t="n">
        <v>54</v>
      </c>
      <c r="B58" s="39" t="inlineStr">
        <is>
          <t>Treasury</t>
        </is>
      </c>
      <c r="C58" s="39" t="inlineStr">
        <is>
          <t>Half hedge option</t>
        </is>
      </c>
      <c r="D58" s="39" t="inlineStr">
        <is>
          <t>1,077 / 2 = 538 avoided, 340 / 2 = 170 premium</t>
        </is>
      </c>
      <c r="E58" s="39" t="inlineStr">
        <is>
          <t>538 and 170</t>
        </is>
      </c>
      <c r="F58" s="39" t="inlineStr">
        <is>
          <t>PASS</t>
        </is>
      </c>
      <c r="G58" s="39" t="n"/>
    </row>
    <row r="59" ht="15" customHeight="1">
      <c r="A59" s="39" t="n">
        <v>55</v>
      </c>
      <c r="B59" s="39" t="inlineStr">
        <is>
          <t>Treasury</t>
        </is>
      </c>
      <c r="C59" s="39" t="inlineStr">
        <is>
          <t>Spot purchase cash out</t>
        </is>
      </c>
      <c r="D59" s="39" t="inlineStr">
        <is>
          <t>2,000,000 x 17,950 = 35,900 mn</t>
        </is>
      </c>
      <c r="E59" s="39" t="inlineStr">
        <is>
          <t>35,900</t>
        </is>
      </c>
      <c r="F59" s="39" t="inlineStr">
        <is>
          <t>PASS</t>
        </is>
      </c>
      <c r="G59" s="39" t="n"/>
    </row>
    <row r="60" ht="15" customHeight="1">
      <c r="A60" s="39" t="n">
        <v>56</v>
      </c>
      <c r="B60" s="39" t="inlineStr">
        <is>
          <t>Treasury</t>
        </is>
      </c>
      <c r="C60" s="39" t="inlineStr">
        <is>
          <t>Hedge coverage</t>
        </is>
      </c>
      <c r="D60" s="39" t="inlineStr">
        <is>
          <t>2,000,000 / 3,300,000 = 60.6%</t>
        </is>
      </c>
      <c r="E60" s="39" t="inlineStr">
        <is>
          <t>61%</t>
        </is>
      </c>
      <c r="F60" s="39" t="inlineStr">
        <is>
          <t>PASS</t>
        </is>
      </c>
      <c r="G60" s="39" t="n"/>
    </row>
    <row r="61" ht="23.25" customHeight="1">
      <c r="A61" s="39" t="n">
        <v>57</v>
      </c>
      <c r="B61" s="39" t="inlineStr">
        <is>
          <t>Treasury</t>
        </is>
      </c>
      <c r="C61" s="39" t="inlineStr">
        <is>
          <t>Option B is the recommended one on the numbers</t>
        </is>
      </c>
      <c r="D61" s="39" t="inlineStr">
        <is>
          <t>Option C avoids the same 1,077 with zero premium. Only liquidity justifies B, and the table does say so.</t>
        </is>
      </c>
      <c r="E61" s="39" t="inlineStr">
        <is>
          <t>Defensible but will be challenged</t>
        </is>
      </c>
      <c r="F61" s="39" t="inlineStr">
        <is>
          <t>PASS</t>
        </is>
      </c>
      <c r="G61" s="39" t="n"/>
    </row>
    <row r="62" ht="15" customHeight="1">
      <c r="A62" s="39" t="n">
        <v>58</v>
      </c>
      <c r="B62" s="39" t="inlineStr">
        <is>
          <t>Treasury</t>
        </is>
      </c>
      <c r="C62" s="39" t="inlineStr">
        <is>
          <t>Deferral action arithmetic</t>
        </is>
      </c>
      <c r="D62" s="39" t="inlineStr">
        <is>
          <t>Two cards compute -1,002.5 + 3,000 = 1,997.5 correctly. Two others do not.</t>
        </is>
      </c>
      <c r="E62" s="39" t="inlineStr">
        <is>
          <t>Mixed</t>
        </is>
      </c>
      <c r="F62" s="39" t="inlineStr">
        <is>
          <t>FAIL</t>
        </is>
      </c>
      <c r="G62" s="39" t="inlineStr">
        <is>
          <t>QC-004</t>
        </is>
      </c>
    </row>
    <row r="63" ht="15" customHeight="1">
      <c r="A63" s="39" t="n">
        <v>59</v>
      </c>
      <c r="B63" s="39" t="inlineStr">
        <is>
          <t>Treasury</t>
        </is>
      </c>
      <c r="C63" s="39" t="inlineStr">
        <is>
          <t>Combined action arithmetic</t>
        </is>
      </c>
      <c r="D63" s="39" t="inlineStr">
        <is>
          <t>2,000 + 3,000 = 5,000 should give +3,997.5, card shows +1,997.5</t>
        </is>
      </c>
      <c r="E63" s="39" t="inlineStr">
        <is>
          <t>Mismatch</t>
        </is>
      </c>
      <c r="F63" s="39" t="inlineStr">
        <is>
          <t>FAIL</t>
        </is>
      </c>
      <c r="G63" s="39" t="inlineStr">
        <is>
          <t>QC-017</t>
        </is>
      </c>
    </row>
    <row r="64" ht="15" customHeight="1">
      <c r="A64" s="39" t="n">
        <v>60</v>
      </c>
      <c r="B64" s="39" t="inlineStr">
        <is>
          <t>Cross-agent</t>
        </is>
      </c>
      <c r="C64" s="39" t="inlineStr">
        <is>
          <t>Collection revenue base against Finance revenue</t>
        </is>
      </c>
      <c r="D64" s="39" t="inlineStr">
        <is>
          <t>700,000 annual credit sales vs 46,510 Finance revenue</t>
        </is>
      </c>
      <c r="E64" s="39" t="inlineStr">
        <is>
          <t>15x apart</t>
        </is>
      </c>
      <c r="F64" s="39" t="inlineStr">
        <is>
          <t>FAIL</t>
        </is>
      </c>
      <c r="G64" s="39" t="inlineStr">
        <is>
          <t>QC-003</t>
        </is>
      </c>
    </row>
    <row r="65" ht="23.25" customHeight="1">
      <c r="A65" s="39" t="n">
        <v>61</v>
      </c>
      <c r="B65" s="39" t="inlineStr">
        <is>
          <t>Cross-agent</t>
        </is>
      </c>
      <c r="C65" s="39" t="inlineStr">
        <is>
          <t>Treasury collection lever against the Collection book</t>
        </is>
      </c>
      <c r="D65" s="39" t="inlineStr">
        <is>
          <t>Treasury caps accelerate collection at 8,000 while Collection says one customer alone frees 8,500</t>
        </is>
      </c>
      <c r="E65" s="39" t="inlineStr">
        <is>
          <t>Not linked</t>
        </is>
      </c>
      <c r="F65" s="39" t="inlineStr">
        <is>
          <t>FAIL</t>
        </is>
      </c>
      <c r="G65" s="39" t="inlineStr">
        <is>
          <t>QC-047</t>
        </is>
      </c>
    </row>
    <row r="66" ht="15" customHeight="1">
      <c r="A66" s="39" t="n">
        <v>62</v>
      </c>
      <c r="B66" s="39" t="inlineStr">
        <is>
          <t>Cross-agent</t>
        </is>
      </c>
      <c r="C66" s="39" t="inlineStr">
        <is>
          <t>Cost variance across surfaces</t>
        </is>
      </c>
      <c r="D66" s="39" t="inlineStr">
        <is>
          <t>Waterfall -1,880 vs alerts and actions 2,930</t>
        </is>
      </c>
      <c r="E66" s="39" t="inlineStr">
        <is>
          <t>Two figures</t>
        </is>
      </c>
      <c r="F66" s="39" t="inlineStr">
        <is>
          <t>FAIL</t>
        </is>
      </c>
      <c r="G66" s="39" t="inlineStr">
        <is>
          <t>QC-011</t>
        </is>
      </c>
    </row>
  </sheetData>
  <autoFilter ref="A4:G66"/>
  <mergeCells count="2">
    <mergeCell ref="A2:G2"/>
    <mergeCell ref="A1:G1"/>
  </mergeCells>
  <conditionalFormatting sqref="F5:F66">
    <cfRule type="cellIs" priority="2" operator="equal" dxfId="52">
      <formula>"FAIL"</formula>
    </cfRule>
    <cfRule type="cellIs" priority="3" operator="equal" dxfId="46">
      <formula>"PASS"</formula>
    </cfRule>
  </conditionalFormatting>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25"/>
  <sheetViews>
    <sheetView showGridLines="0" zoomScaleNormal="100" workbookViewId="0">
      <pane ySplit="4" topLeftCell="A5" activePane="bottomLeft" state="frozen"/>
      <selection pane="bottomLeft" activeCell="C16" sqref="C16"/>
    </sheetView>
  </sheetViews>
  <sheetFormatPr baseColWidth="8" defaultColWidth="8.7265625" defaultRowHeight="14.5"/>
  <cols>
    <col width="23.1796875" bestFit="1" customWidth="1" style="10" min="1" max="1"/>
    <col width="22.54296875" bestFit="1" customWidth="1" style="10" min="2" max="2"/>
    <col width="71.1796875" bestFit="1" customWidth="1" style="10" min="3" max="3"/>
    <col width="67" bestFit="1" customWidth="1" style="10" min="4" max="4"/>
    <col width="14.1796875" bestFit="1" customWidth="1" style="10" min="5" max="5"/>
    <col width="16.26953125" bestFit="1" customWidth="1" style="10" min="6" max="6"/>
    <col width="8.7265625" customWidth="1" style="10" min="7" max="16384"/>
  </cols>
  <sheetData>
    <row r="1" ht="18" customHeight="1">
      <c r="A1" s="36" t="inlineStr">
        <is>
          <t>Dataset requirement versus what the mockup contains</t>
        </is>
      </c>
    </row>
    <row r="2" ht="15" customHeight="1">
      <c r="A2" s="37" t="inlineStr">
        <is>
          <t>The replacement dataset is delivered as a separate workbook: Dataset_AI_Finance_Forum_v1.xlsx</t>
        </is>
      </c>
    </row>
    <row r="4" ht="15" customHeight="1">
      <c r="A4" s="27" t="inlineStr">
        <is>
          <t>Requirement</t>
        </is>
      </c>
      <c r="B4" s="27" t="inlineStr">
        <is>
          <t>Client asked for</t>
        </is>
      </c>
      <c r="C4" s="27" t="inlineStr">
        <is>
          <t>In the current mockup</t>
        </is>
      </c>
      <c r="D4" s="27" t="inlineStr">
        <is>
          <t>In the replacement dataset</t>
        </is>
      </c>
      <c r="E4" s="27" t="inlineStr">
        <is>
          <t>Status</t>
        </is>
      </c>
      <c r="F4" s="27" t="inlineStr">
        <is>
          <t>Where to find it</t>
        </is>
      </c>
    </row>
    <row r="5" ht="15" customHeight="1">
      <c r="A5" s="39" t="inlineStr">
        <is>
          <t>Legal entity</t>
        </is>
      </c>
      <c r="B5" s="39" t="inlineStr">
        <is>
          <t>Minimum 3</t>
        </is>
      </c>
      <c r="C5" s="39" t="inlineStr">
        <is>
          <t>None. No entity dimension exists anywhere in the payload.</t>
        </is>
      </c>
      <c r="D5" s="39" t="inlineStr">
        <is>
          <t>3: Indonesia (IDR), Singapore (SGD), Malaysia (MYR)</t>
        </is>
      </c>
      <c r="E5" s="39" t="inlineStr">
        <is>
          <t>Met</t>
        </is>
      </c>
      <c r="F5" s="39" t="inlineStr">
        <is>
          <t>10_DIM_Legal_Entity</t>
        </is>
      </c>
    </row>
    <row r="6" ht="15" customHeight="1">
      <c r="A6" s="39" t="inlineStr">
        <is>
          <t>Store</t>
        </is>
      </c>
      <c r="B6" s="39" t="inlineStr">
        <is>
          <t>Minimum 20</t>
        </is>
      </c>
      <c r="C6" s="39" t="inlineStr">
        <is>
          <t>None</t>
        </is>
      </c>
      <c r="D6" s="39" t="inlineStr">
        <is>
          <t>24 stores across 4 formats, 4 channels and 18 cities</t>
        </is>
      </c>
      <c r="E6" s="39" t="inlineStr">
        <is>
          <t>Met</t>
        </is>
      </c>
      <c r="F6" s="39" t="inlineStr">
        <is>
          <t>11_DIM_Store</t>
        </is>
      </c>
    </row>
    <row r="7" ht="15" customHeight="1">
      <c r="A7" s="39" t="inlineStr">
        <is>
          <t>Item</t>
        </is>
      </c>
      <c r="B7" s="39" t="inlineStr">
        <is>
          <t>Minimum 100</t>
        </is>
      </c>
      <c r="C7" s="39" t="inlineStr">
        <is>
          <t>None. Finance shows 3 product lines only.</t>
        </is>
      </c>
      <c r="D7" s="39" t="inlineStr">
        <is>
          <t>120 items, ABC classified, imported and local flagged</t>
        </is>
      </c>
      <c r="E7" s="39" t="inlineStr">
        <is>
          <t>Met</t>
        </is>
      </c>
      <c r="F7" s="39" t="inlineStr">
        <is>
          <t>13_DIM_Item</t>
        </is>
      </c>
    </row>
    <row r="8" ht="15" customHeight="1">
      <c r="A8" s="39" t="inlineStr">
        <is>
          <t>Category</t>
        </is>
      </c>
      <c r="B8" s="39" t="inlineStr">
        <is>
          <t>A full variety</t>
        </is>
      </c>
      <c r="C8" s="39" t="inlineStr">
        <is>
          <t>None</t>
        </is>
      </c>
      <c r="D8" s="39" t="inlineStr">
        <is>
          <t>12 categories across 5 category groups</t>
        </is>
      </c>
      <c r="E8" s="39" t="inlineStr">
        <is>
          <t>Met</t>
        </is>
      </c>
      <c r="F8" s="39" t="inlineStr">
        <is>
          <t>12_DIM_Category</t>
        </is>
      </c>
    </row>
    <row r="9" ht="15" customHeight="1">
      <c r="A9" s="39" t="inlineStr">
        <is>
          <t>Period</t>
        </is>
      </c>
      <c r="B9" s="39" t="inlineStr">
        <is>
          <t>Full year through Sep 2026</t>
        </is>
      </c>
      <c r="C9" s="39" t="inlineStr">
        <is>
          <t>Single undated snapshot. No chart states its period.</t>
        </is>
      </c>
      <c r="D9" s="39" t="inlineStr">
        <is>
          <t>21 months, Jan 2025 to Sep 2026, monthly</t>
        </is>
      </c>
      <c r="E9" s="39" t="inlineStr">
        <is>
          <t>Met and extended</t>
        </is>
      </c>
      <c r="F9" s="39" t="inlineStr">
        <is>
          <t>20_FACT_Sales</t>
        </is>
      </c>
    </row>
    <row r="10" ht="23.25" customHeight="1">
      <c r="A10" s="39" t="inlineStr">
        <is>
          <t>Customers</t>
        </is>
      </c>
      <c r="B10" s="39" t="inlineStr">
        <is>
          <t>Not specified</t>
        </is>
      </c>
      <c r="C10" s="39" t="inlineStr">
        <is>
          <t>8 in the worklist</t>
        </is>
      </c>
      <c r="D10" s="39" t="inlineStr">
        <is>
          <t>40 customers with terms, credit limits, risk tiers and payment behaviour</t>
        </is>
      </c>
      <c r="E10" s="39" t="inlineStr">
        <is>
          <t>Met</t>
        </is>
      </c>
      <c r="F10" s="39" t="inlineStr">
        <is>
          <t>14_DIM_Customer</t>
        </is>
      </c>
    </row>
    <row r="11" ht="15" customHeight="1">
      <c r="A11" s="39" t="inlineStr">
        <is>
          <t>Vendors</t>
        </is>
      </c>
      <c r="B11" s="39" t="inlineStr">
        <is>
          <t>Not specified</t>
        </is>
      </c>
      <c r="C11" s="39" t="inlineStr">
        <is>
          <t>8 in the vendor radar</t>
        </is>
      </c>
      <c r="D11" s="39" t="inlineStr">
        <is>
          <t>30 vendors across 9 countries and 5 currencies</t>
        </is>
      </c>
      <c r="E11" s="39" t="inlineStr">
        <is>
          <t>Met</t>
        </is>
      </c>
      <c r="F11" s="39" t="inlineStr">
        <is>
          <t>15_DIM_Vendor</t>
        </is>
      </c>
    </row>
    <row r="12" ht="23.25" customHeight="1">
      <c r="A12" s="39" t="inlineStr">
        <is>
          <t>Transactions</t>
        </is>
      </c>
      <c r="B12" s="39" t="inlineStr">
        <is>
          <t>Not specified</t>
        </is>
      </c>
      <c r="C12" s="39" t="inlineStr">
        <is>
          <t>10 leakage rows, 8 AR rows</t>
        </is>
      </c>
      <c r="D12" s="39" t="inlineStr">
        <is>
          <t>25,588 sales lines, 2,016 AR invoices, 630 AP invoices, 288 cash lines</t>
        </is>
      </c>
      <c r="E12" s="39" t="inlineStr">
        <is>
          <t>Met</t>
        </is>
      </c>
      <c r="F12" s="39" t="inlineStr">
        <is>
          <t>20 / 30 / 31 / 40</t>
        </is>
      </c>
    </row>
    <row r="13" ht="15" customHeight="1">
      <c r="A13" s="39" t="inlineStr">
        <is>
          <t>Budget</t>
        </is>
      </c>
      <c r="B13" s="39" t="inlineStr">
        <is>
          <t>Implied by variance reporting</t>
        </is>
      </c>
      <c r="C13" s="39" t="inlineStr">
        <is>
          <t>A single budget EBITDA of 7,200 with no detail</t>
        </is>
      </c>
      <c r="D13" s="39" t="inlineStr">
        <is>
          <t>Budget revenue and COGS by month, entity and category</t>
        </is>
      </c>
      <c r="E13" s="39" t="inlineStr">
        <is>
          <t>Met</t>
        </is>
      </c>
      <c r="F13" s="39" t="inlineStr">
        <is>
          <t>21_FACT_Budget</t>
        </is>
      </c>
    </row>
    <row r="14" ht="23.25" customHeight="1">
      <c r="A14" s="39" t="inlineStr">
        <is>
          <t>Opex detail</t>
        </is>
      </c>
      <c r="B14" s="39" t="inlineStr">
        <is>
          <t>Implied</t>
        </is>
      </c>
      <c r="C14" s="39" t="inlineStr">
        <is>
          <t>Flagged in the payload as 'illustrative, profit_summary has no opex line columns in this batch'</t>
        </is>
      </c>
      <c r="D14" s="39" t="inlineStr">
        <is>
          <t>5 opex lines by month and entity, actual and budget</t>
        </is>
      </c>
      <c r="E14" s="39" t="inlineStr">
        <is>
          <t>Met</t>
        </is>
      </c>
      <c r="F14" s="39" t="inlineStr">
        <is>
          <t>22_FACT_Opex</t>
        </is>
      </c>
    </row>
    <row r="15" ht="15" customHeight="1">
      <c r="A15" s="39" t="inlineStr">
        <is>
          <t>Cash forecast</t>
        </is>
      </c>
      <c r="B15" s="39" t="inlineStr">
        <is>
          <t>Implied</t>
        </is>
      </c>
      <c r="C15" s="39" t="inlineStr">
        <is>
          <t>13 closing balances with no drivers</t>
        </is>
      </c>
      <c r="D15" s="39" t="inlineStr">
        <is>
          <t>288 individual cash lines rolling up to 13 weekly balances</t>
        </is>
      </c>
      <c r="E15" s="39" t="inlineStr">
        <is>
          <t>Met</t>
        </is>
      </c>
      <c r="F15" s="39" t="inlineStr">
        <is>
          <t>40 / 41</t>
        </is>
      </c>
    </row>
    <row r="16" ht="23.25" customHeight="1">
      <c r="A16" s="39" t="inlineStr">
        <is>
          <t>FX exposure</t>
        </is>
      </c>
      <c r="B16" s="39" t="inlineStr">
        <is>
          <t>Implied</t>
        </is>
      </c>
      <c r="C16" s="39" t="inlineStr">
        <is>
          <t>A single 3.3m USD figure with no derivation</t>
        </is>
      </c>
      <c r="D16" s="39" t="inlineStr">
        <is>
          <t>Exposure built from open USD payables plus forecast USD purchases less USD receipts</t>
        </is>
      </c>
      <c r="E16" s="39" t="inlineStr">
        <is>
          <t>Met</t>
        </is>
      </c>
      <c r="F16" s="39" t="inlineStr">
        <is>
          <t>42 / 43</t>
        </is>
      </c>
    </row>
    <row r="17" ht="15" customHeight="1">
      <c r="A17" s="39" t="inlineStr">
        <is>
          <t>Prior year comparison</t>
        </is>
      </c>
      <c r="B17" s="39" t="inlineStr">
        <is>
          <t>Not asked for</t>
        </is>
      </c>
      <c r="C17" s="39" t="inlineStr">
        <is>
          <t>Not possible</t>
        </is>
      </c>
      <c r="D17" s="39" t="inlineStr">
        <is>
          <t>2025 included so year-on-year is available</t>
        </is>
      </c>
      <c r="E17" s="39" t="inlineStr">
        <is>
          <t>Added</t>
        </is>
      </c>
      <c r="F17" s="39" t="inlineStr">
        <is>
          <t>20_FACT_Sales</t>
        </is>
      </c>
    </row>
    <row r="20" ht="15" customHeight="1">
      <c r="A20" s="11" t="inlineStr">
        <is>
          <t>Recommended cut-over</t>
        </is>
      </c>
    </row>
    <row r="21" ht="15" customHeight="1">
      <c r="A21" s="38" t="inlineStr">
        <is>
          <t>1. Load the replacement dataset as one import batch and repoint all four agents at it. Retire batches 2, 11, 17 and 19.</t>
        </is>
      </c>
    </row>
    <row r="22" ht="15" customHeight="1">
      <c r="A22" s="38" t="inlineStr">
        <is>
          <t>2. Rebuild the four agent KPI packs from sheet 50_Agent_KPIs. Every row there states its own derivation.</t>
        </is>
      </c>
    </row>
    <row r="23" ht="15" customHeight="1">
      <c r="A23" s="38" t="inlineStr">
        <is>
          <t>3. Run sheet 90_Reconciliation in the dataset workbook after loading. All 14 checks must pass before the demo.</t>
        </is>
      </c>
    </row>
    <row r="24" ht="15" customHeight="1">
      <c r="A24" s="38" t="inlineStr">
        <is>
          <t>4. Confirm the four yellow assumptions with the client: minimum cash buffer 8,000 mn, target DSO 47 days, spot rate 17,950 and the 3% adverse move.</t>
        </is>
      </c>
    </row>
    <row r="25" ht="15" customHeight="1">
      <c r="A25" s="38" t="inlineStr">
        <is>
          <t>5. Keep the story shape you already have. The replacement numbers land close to the current ones on purpose: revenue about 46,500 mn a month, gross margin about 25%, opex about 16% of revenue, EBITDA about 9%, DSO about 62 days against a 47-day target, and one clear cash trough. Your storyline does not need rewriting.</t>
        </is>
      </c>
    </row>
  </sheetData>
  <mergeCells count="7">
    <mergeCell ref="A24:F24"/>
    <mergeCell ref="A2:F2"/>
    <mergeCell ref="A1:F1"/>
    <mergeCell ref="A23:F23"/>
    <mergeCell ref="A22:F22"/>
    <mergeCell ref="A21:F21"/>
    <mergeCell ref="A25:F25"/>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26"/>
  <sheetViews>
    <sheetView showGridLines="0" topLeftCell="B1" zoomScaleNormal="100" workbookViewId="0">
      <pane ySplit="4" topLeftCell="A5" activePane="bottomLeft" state="frozen"/>
      <selection pane="bottomLeft" activeCell="G17" sqref="G17"/>
    </sheetView>
  </sheetViews>
  <sheetFormatPr baseColWidth="8" defaultColWidth="8.7265625" defaultRowHeight="14.5"/>
  <cols>
    <col width="5" customWidth="1" style="30" min="1" max="1"/>
    <col width="26" customWidth="1" style="30" min="2" max="2"/>
    <col width="20" customWidth="1" style="30" min="3" max="3"/>
    <col width="24" customWidth="1" style="30" min="4" max="4"/>
    <col width="34" customWidth="1" style="30" min="5" max="5"/>
    <col width="13" customWidth="1" style="30" min="6" max="6"/>
    <col width="66" customWidth="1" style="30" min="7" max="7"/>
    <col width="13" customWidth="1" style="30" min="8" max="8"/>
    <col width="8.7265625" customWidth="1" style="30" min="9" max="16384"/>
  </cols>
  <sheetData>
    <row r="1" ht="18" customHeight="1">
      <c r="A1" s="41" t="inlineStr">
        <is>
          <t>Additional filters required</t>
        </is>
      </c>
    </row>
    <row r="2" ht="15" customHeight="1">
      <c r="A2" s="42" t="inlineStr">
        <is>
          <t>The current API exposes no filter parameters at all. Every filter below is already supported by the replacement dataset.</t>
        </is>
      </c>
    </row>
    <row r="4" ht="15" customHeight="1">
      <c r="A4" s="35" t="inlineStr">
        <is>
          <t>#</t>
        </is>
      </c>
      <c r="B4" s="35" t="inlineStr">
        <is>
          <t>Filter</t>
        </is>
      </c>
      <c r="C4" s="35" t="inlineStr">
        <is>
          <t>Applies to</t>
        </is>
      </c>
      <c r="D4" s="35" t="inlineStr">
        <is>
          <t>Source column</t>
        </is>
      </c>
      <c r="E4" s="35" t="inlineStr">
        <is>
          <t>Values available</t>
        </is>
      </c>
      <c r="F4" s="35" t="inlineStr">
        <is>
          <t>Priority</t>
        </is>
      </c>
      <c r="G4" s="35" t="inlineStr">
        <is>
          <t>Why a CFO needs it</t>
        </is>
      </c>
      <c r="H4" s="35" t="inlineStr">
        <is>
          <t>Status</t>
        </is>
      </c>
    </row>
    <row r="5" ht="23.25" customHeight="1">
      <c r="A5" s="34" t="n">
        <v>1</v>
      </c>
      <c r="B5" s="31" t="inlineStr">
        <is>
          <t>Legal entity</t>
        </is>
      </c>
      <c r="C5" s="31" t="inlineStr">
        <is>
          <t>All four agents</t>
        </is>
      </c>
      <c r="D5" s="31" t="inlineStr">
        <is>
          <t>legal_entity_id</t>
        </is>
      </c>
      <c r="E5" s="31" t="inlineStr">
        <is>
          <t>Indonesia, Singapore, Malaysia</t>
        </is>
      </c>
      <c r="F5" s="32" t="inlineStr">
        <is>
          <t>Must have</t>
        </is>
      </c>
      <c r="G5" s="31" t="inlineStr">
        <is>
          <t>A group CFO reviews by entity first. Without it the demo is one blended number nobody owns.</t>
        </is>
      </c>
      <c r="H5" s="33" t="inlineStr">
        <is>
          <t>Not built</t>
        </is>
      </c>
    </row>
    <row r="6" ht="23.25" customHeight="1">
      <c r="A6" s="34" t="n">
        <v>2</v>
      </c>
      <c r="B6" s="31" t="inlineStr">
        <is>
          <t>Period and date range</t>
        </is>
      </c>
      <c r="C6" s="31" t="inlineStr">
        <is>
          <t>All four agents</t>
        </is>
      </c>
      <c r="D6" s="31" t="inlineStr">
        <is>
          <t>month, year, quarter</t>
        </is>
      </c>
      <c r="E6" s="31" t="inlineStr">
        <is>
          <t>Jan 2025 to Sep 2026</t>
        </is>
      </c>
      <c r="F6" s="32" t="inlineStr">
        <is>
          <t>Must have</t>
        </is>
      </c>
      <c r="G6" s="31" t="inlineStr">
        <is>
          <t>No chart on the current build states its period. The first CFO question will be whether that is the month or the year.</t>
        </is>
      </c>
      <c r="H6" s="33" t="inlineStr">
        <is>
          <t>Not built</t>
        </is>
      </c>
    </row>
    <row r="7" ht="23.25" customHeight="1">
      <c r="A7" s="34" t="n">
        <v>3</v>
      </c>
      <c r="B7" s="31" t="inlineStr">
        <is>
          <t>Comparison basis</t>
        </is>
      </c>
      <c r="C7" s="31" t="inlineStr">
        <is>
          <t>Finance</t>
        </is>
      </c>
      <c r="D7" s="31" t="inlineStr">
        <is>
          <t>actual, budget, prior year</t>
        </is>
      </c>
      <c r="E7" s="31" t="inlineStr">
        <is>
          <t>Budget for every month, 2025 as prior year</t>
        </is>
      </c>
      <c r="F7" s="32" t="inlineStr">
        <is>
          <t>Must have</t>
        </is>
      </c>
      <c r="G7" s="31" t="inlineStr">
        <is>
          <t>Variance means nothing without naming what it is measured against.</t>
        </is>
      </c>
      <c r="H7" s="33" t="inlineStr">
        <is>
          <t>Not built</t>
        </is>
      </c>
    </row>
    <row r="8" ht="15" customHeight="1">
      <c r="A8" s="34" t="n">
        <v>4</v>
      </c>
      <c r="B8" s="31" t="inlineStr">
        <is>
          <t>Store or branch</t>
        </is>
      </c>
      <c r="C8" s="31" t="inlineStr">
        <is>
          <t>Finance, Collection</t>
        </is>
      </c>
      <c r="D8" s="31" t="inlineStr">
        <is>
          <t>store_id</t>
        </is>
      </c>
      <c r="E8" s="31" t="inlineStr">
        <is>
          <t>24 stores</t>
        </is>
      </c>
      <c r="F8" s="32" t="inlineStr">
        <is>
          <t>Must have</t>
        </is>
      </c>
      <c r="G8" s="31" t="inlineStr">
        <is>
          <t>Regional managers are held to store numbers.</t>
        </is>
      </c>
      <c r="H8" s="33" t="inlineStr">
        <is>
          <t>Not built</t>
        </is>
      </c>
    </row>
    <row r="9" ht="15" customHeight="1">
      <c r="A9" s="34" t="n">
        <v>5</v>
      </c>
      <c r="B9" s="31" t="inlineStr">
        <is>
          <t>Region and country</t>
        </is>
      </c>
      <c r="C9" s="31" t="inlineStr">
        <is>
          <t>Finance, Collection</t>
        </is>
      </c>
      <c r="D9" s="31" t="inlineStr">
        <is>
          <t>region, country</t>
        </is>
      </c>
      <c r="E9" s="31" t="inlineStr">
        <is>
          <t>18 cities across 3 countries</t>
        </is>
      </c>
      <c r="F9" s="31" t="inlineStr">
        <is>
          <t>Should have</t>
        </is>
      </c>
      <c r="G9" s="31" t="inlineStr">
        <is>
          <t>Supports the entity roll-up story.</t>
        </is>
      </c>
      <c r="H9" s="33" t="inlineStr">
        <is>
          <t>Not built</t>
        </is>
      </c>
    </row>
    <row r="10" ht="15" customHeight="1">
      <c r="A10" s="34" t="n">
        <v>6</v>
      </c>
      <c r="B10" s="31" t="inlineStr">
        <is>
          <t>Category and category group</t>
        </is>
      </c>
      <c r="C10" s="31" t="inlineStr">
        <is>
          <t>Finance, Leakage</t>
        </is>
      </c>
      <c r="D10" s="31" t="inlineStr">
        <is>
          <t>category_id, category_group</t>
        </is>
      </c>
      <c r="E10" s="31" t="inlineStr">
        <is>
          <t>12 categories in 5 groups</t>
        </is>
      </c>
      <c r="F10" s="32" t="inlineStr">
        <is>
          <t>Must have</t>
        </is>
      </c>
      <c r="G10" s="31" t="inlineStr">
        <is>
          <t>Mix is the headline margin story. It cannot be told without category.</t>
        </is>
      </c>
      <c r="H10" s="33" t="inlineStr">
        <is>
          <t>Not built</t>
        </is>
      </c>
    </row>
    <row r="11" ht="15" customHeight="1">
      <c r="A11" s="34" t="n">
        <v>7</v>
      </c>
      <c r="B11" s="31" t="inlineStr">
        <is>
          <t>Item or SKU</t>
        </is>
      </c>
      <c r="C11" s="31" t="inlineStr">
        <is>
          <t>Finance</t>
        </is>
      </c>
      <c r="D11" s="31" t="inlineStr">
        <is>
          <t>item_id, abc_class</t>
        </is>
      </c>
      <c r="E11" s="31" t="inlineStr">
        <is>
          <t>120 items, ABC classified</t>
        </is>
      </c>
      <c r="F11" s="31" t="inlineStr">
        <is>
          <t>Should have</t>
        </is>
      </c>
      <c r="G11" s="31" t="inlineStr">
        <is>
          <t>Lets the agent drill from mix down to the actual SKU.</t>
        </is>
      </c>
      <c r="H11" s="33" t="inlineStr">
        <is>
          <t>Not built</t>
        </is>
      </c>
    </row>
    <row r="12" ht="23.25" customHeight="1">
      <c r="A12" s="34" t="n">
        <v>8</v>
      </c>
      <c r="B12" s="31" t="inlineStr">
        <is>
          <t>Channel</t>
        </is>
      </c>
      <c r="C12" s="31" t="inlineStr">
        <is>
          <t>Finance</t>
        </is>
      </c>
      <c r="D12" s="31" t="inlineStr">
        <is>
          <t>channel</t>
        </is>
      </c>
      <c r="E12" s="31" t="inlineStr">
        <is>
          <t>Retail, Wholesale, B2B Contract, E-commerce</t>
        </is>
      </c>
      <c r="F12" s="31" t="inlineStr">
        <is>
          <t>Should have</t>
        </is>
      </c>
      <c r="G12" s="31" t="inlineStr">
        <is>
          <t>Discounting behaves very differently by channel.</t>
        </is>
      </c>
      <c r="H12" s="33" t="inlineStr">
        <is>
          <t>Not built</t>
        </is>
      </c>
    </row>
    <row r="13" ht="15" customHeight="1">
      <c r="A13" s="34" t="n">
        <v>9</v>
      </c>
      <c r="B13" s="31" t="inlineStr">
        <is>
          <t>Imported versus local</t>
        </is>
      </c>
      <c r="C13" s="31" t="inlineStr">
        <is>
          <t>Finance, Treasury</t>
        </is>
      </c>
      <c r="D13" s="31" t="inlineStr">
        <is>
          <t>import_flag</t>
        </is>
      </c>
      <c r="E13" s="31" t="inlineStr">
        <is>
          <t>55% imported, 45% local</t>
        </is>
      </c>
      <c r="F13" s="32" t="inlineStr">
        <is>
          <t>Must have</t>
        </is>
      </c>
      <c r="G13" s="31" t="inlineStr">
        <is>
          <t>This is the bridge between the margin story and the FX story.</t>
        </is>
      </c>
      <c r="H13" s="33" t="inlineStr">
        <is>
          <t>Not built</t>
        </is>
      </c>
    </row>
    <row r="14" ht="15" customHeight="1">
      <c r="A14" s="34" t="n">
        <v>10</v>
      </c>
      <c r="B14" s="31" t="inlineStr">
        <is>
          <t>Customer</t>
        </is>
      </c>
      <c r="C14" s="31" t="inlineStr">
        <is>
          <t>Collection</t>
        </is>
      </c>
      <c r="D14" s="31" t="inlineStr">
        <is>
          <t>customer_id</t>
        </is>
      </c>
      <c r="E14" s="31" t="inlineStr">
        <is>
          <t>40 customers</t>
        </is>
      </c>
      <c r="F14" s="32" t="inlineStr">
        <is>
          <t>Must have</t>
        </is>
      </c>
      <c r="G14" s="31" t="inlineStr">
        <is>
          <t>The worklist is useless without it.</t>
        </is>
      </c>
      <c r="H14" s="33" t="inlineStr">
        <is>
          <t>Not built</t>
        </is>
      </c>
    </row>
    <row r="15" ht="15" customHeight="1">
      <c r="A15" s="34" t="n">
        <v>11</v>
      </c>
      <c r="B15" s="31" t="inlineStr">
        <is>
          <t>Risk tier</t>
        </is>
      </c>
      <c r="C15" s="31" t="inlineStr">
        <is>
          <t>Collection</t>
        </is>
      </c>
      <c r="D15" s="31" t="inlineStr">
        <is>
          <t>risk_tier</t>
        </is>
      </c>
      <c r="E15" s="31" t="inlineStr">
        <is>
          <t>Low, Medium, High</t>
        </is>
      </c>
      <c r="F15" s="32" t="inlineStr">
        <is>
          <t>Must have</t>
        </is>
      </c>
      <c r="G15" s="31" t="inlineStr">
        <is>
          <t>Drives both the recovery rate and the credit hold decision.</t>
        </is>
      </c>
      <c r="H15" s="33" t="inlineStr">
        <is>
          <t>Not built</t>
        </is>
      </c>
    </row>
    <row r="16" ht="15" customHeight="1">
      <c r="A16" s="34" t="n">
        <v>12</v>
      </c>
      <c r="B16" s="31" t="inlineStr">
        <is>
          <t>Ageing bucket</t>
        </is>
      </c>
      <c r="C16" s="31" t="inlineStr">
        <is>
          <t>Collection</t>
        </is>
      </c>
      <c r="D16" s="31" t="inlineStr">
        <is>
          <t>aging_bucket</t>
        </is>
      </c>
      <c r="E16" s="31" t="inlineStr">
        <is>
          <t>Current, 1-30, 31-60, 61-90, 90+</t>
        </is>
      </c>
      <c r="F16" s="32" t="inlineStr">
        <is>
          <t>Must have</t>
        </is>
      </c>
      <c r="G16" s="31" t="inlineStr">
        <is>
          <t>The standard AR review lens.</t>
        </is>
      </c>
      <c r="H16" s="33" t="inlineStr">
        <is>
          <t>Not built</t>
        </is>
      </c>
    </row>
    <row r="17" ht="15" customHeight="1">
      <c r="A17" s="34" t="n">
        <v>13</v>
      </c>
      <c r="B17" s="31" t="inlineStr">
        <is>
          <t>Segment and industry</t>
        </is>
      </c>
      <c r="C17" s="31" t="inlineStr">
        <is>
          <t>Collection</t>
        </is>
      </c>
      <c r="D17" s="31" t="inlineStr">
        <is>
          <t>segment, industry</t>
        </is>
      </c>
      <c r="E17" s="31" t="inlineStr">
        <is>
          <t>4 segments, 5 industries</t>
        </is>
      </c>
      <c r="F17" s="31" t="inlineStr">
        <is>
          <t>Nice to have</t>
        </is>
      </c>
      <c r="G17" s="31" t="inlineStr">
        <is>
          <t>Useful for the concentration narrative.</t>
        </is>
      </c>
      <c r="H17" s="33" t="inlineStr">
        <is>
          <t>Not built</t>
        </is>
      </c>
    </row>
    <row r="18" ht="15" customHeight="1">
      <c r="A18" s="34" t="n">
        <v>14</v>
      </c>
      <c r="B18" s="31" t="inlineStr">
        <is>
          <t>Vendor</t>
        </is>
      </c>
      <c r="C18" s="31" t="inlineStr">
        <is>
          <t>Leakage</t>
        </is>
      </c>
      <c r="D18" s="31" t="inlineStr">
        <is>
          <t>vendor_id</t>
        </is>
      </c>
      <c r="E18" s="31" t="inlineStr">
        <is>
          <t>30 vendors</t>
        </is>
      </c>
      <c r="F18" s="32" t="inlineStr">
        <is>
          <t>Must have</t>
        </is>
      </c>
      <c r="G18" s="31" t="inlineStr">
        <is>
          <t>The vendor risk radar depends on it.</t>
        </is>
      </c>
      <c r="H18" s="33" t="inlineStr">
        <is>
          <t>Not built</t>
        </is>
      </c>
    </row>
    <row r="19" ht="15" customHeight="1">
      <c r="A19" s="34" t="n">
        <v>15</v>
      </c>
      <c r="B19" s="31" t="inlineStr">
        <is>
          <t>Leakage type</t>
        </is>
      </c>
      <c r="C19" s="31" t="inlineStr">
        <is>
          <t>Leakage</t>
        </is>
      </c>
      <c r="D19" s="31" t="inlineStr">
        <is>
          <t>leakage_type</t>
        </is>
      </c>
      <c r="E19" s="31" t="inlineStr">
        <is>
          <t>5 types</t>
        </is>
      </c>
      <c r="F19" s="32" t="inlineStr">
        <is>
          <t>Must have</t>
        </is>
      </c>
      <c r="G19" s="31" t="inlineStr">
        <is>
          <t>This is the default chart on the current build, and it renders as zero.</t>
        </is>
      </c>
      <c r="H19" s="33" t="inlineStr">
        <is>
          <t>Not built</t>
        </is>
      </c>
    </row>
    <row r="20" ht="23.25" customHeight="1">
      <c r="A20" s="34" t="n">
        <v>16</v>
      </c>
      <c r="B20" s="31" t="inlineStr">
        <is>
          <t>Leakage status</t>
        </is>
      </c>
      <c r="C20" s="31" t="inlineStr">
        <is>
          <t>Leakage</t>
        </is>
      </c>
      <c r="D20" s="31" t="inlineStr">
        <is>
          <t>leakage_status</t>
        </is>
      </c>
      <c r="E20" s="31" t="inlineStr">
        <is>
          <t>Blocked, Paid recoverable, Lost</t>
        </is>
      </c>
      <c r="F20" s="32" t="inlineStr">
        <is>
          <t>Must have</t>
        </is>
      </c>
      <c r="G20" s="31" t="inlineStr">
        <is>
          <t>Separates money saved from money to claw back from money already gone. That distinction is the whole pitch.</t>
        </is>
      </c>
      <c r="H20" s="33" t="inlineStr">
        <is>
          <t>Not built</t>
        </is>
      </c>
    </row>
    <row r="21" ht="15" customHeight="1">
      <c r="A21" s="34" t="n">
        <v>17</v>
      </c>
      <c r="B21" s="31" t="inlineStr">
        <is>
          <t>Currency</t>
        </is>
      </c>
      <c r="C21" s="31" t="inlineStr">
        <is>
          <t>Leakage, Treasury</t>
        </is>
      </c>
      <c r="D21" s="31" t="inlineStr">
        <is>
          <t>currency</t>
        </is>
      </c>
      <c r="E21" s="31" t="inlineStr">
        <is>
          <t>IDR, USD, JPY, CNY, MYR</t>
        </is>
      </c>
      <c r="F21" s="31" t="inlineStr">
        <is>
          <t>Should have</t>
        </is>
      </c>
      <c r="G21" s="31" t="inlineStr">
        <is>
          <t>Needed to isolate the FX exposure.</t>
        </is>
      </c>
      <c r="H21" s="33" t="inlineStr">
        <is>
          <t>Not built</t>
        </is>
      </c>
    </row>
    <row r="22" ht="15" customHeight="1">
      <c r="A22" s="34" t="n">
        <v>18</v>
      </c>
      <c r="B22" s="31" t="inlineStr">
        <is>
          <t>Spend category</t>
        </is>
      </c>
      <c r="C22" s="31" t="inlineStr">
        <is>
          <t>Leakage</t>
        </is>
      </c>
      <c r="D22" s="31" t="inlineStr">
        <is>
          <t>spend_category</t>
        </is>
      </c>
      <c r="E22" s="31" t="inlineStr">
        <is>
          <t>5 categories</t>
        </is>
      </c>
      <c r="F22" s="31" t="inlineStr">
        <is>
          <t>Nice to have</t>
        </is>
      </c>
      <c r="G22" s="31" t="inlineStr">
        <is>
          <t>Useful for the procurement conversation.</t>
        </is>
      </c>
      <c r="H22" s="33" t="inlineStr">
        <is>
          <t>Not built</t>
        </is>
      </c>
    </row>
    <row r="23" ht="15" customHeight="1">
      <c r="A23" s="34" t="n">
        <v>19</v>
      </c>
      <c r="B23" s="31" t="inlineStr">
        <is>
          <t>Week</t>
        </is>
      </c>
      <c r="C23" s="31" t="inlineStr">
        <is>
          <t>Treasury</t>
        </is>
      </c>
      <c r="D23" s="31" t="inlineStr">
        <is>
          <t>week</t>
        </is>
      </c>
      <c r="E23" s="31" t="inlineStr">
        <is>
          <t>W1 to W13</t>
        </is>
      </c>
      <c r="F23" s="32" t="inlineStr">
        <is>
          <t>Must have</t>
        </is>
      </c>
      <c r="G23" s="31" t="inlineStr">
        <is>
          <t>The forecast is weekly. The user must be able to pick a week.</t>
        </is>
      </c>
      <c r="H23" s="33" t="inlineStr">
        <is>
          <t>Not built</t>
        </is>
      </c>
    </row>
    <row r="24" ht="23.25" customHeight="1">
      <c r="A24" s="34" t="n">
        <v>20</v>
      </c>
      <c r="B24" s="31" t="inlineStr">
        <is>
          <t>Commitment type</t>
        </is>
      </c>
      <c r="C24" s="31" t="inlineStr">
        <is>
          <t>Treasury</t>
        </is>
      </c>
      <c r="D24" s="31" t="inlineStr">
        <is>
          <t>commitment_type</t>
        </is>
      </c>
      <c r="E24" s="31" t="inlineStr">
        <is>
          <t>Committed, Deferrable, Forecast</t>
        </is>
      </c>
      <c r="F24" s="32" t="inlineStr">
        <is>
          <t>Must have</t>
        </is>
      </c>
      <c r="G24" s="31" t="inlineStr">
        <is>
          <t>Deferrable is the lever the agent recommends. It has to be filterable to be credible.</t>
        </is>
      </c>
      <c r="H24" s="33" t="inlineStr">
        <is>
          <t>Not built</t>
        </is>
      </c>
    </row>
    <row r="25" ht="15" customHeight="1">
      <c r="A25" s="34" t="n">
        <v>21</v>
      </c>
      <c r="B25" s="31" t="inlineStr">
        <is>
          <t>Cash line</t>
        </is>
      </c>
      <c r="C25" s="31" t="inlineStr">
        <is>
          <t>Treasury</t>
        </is>
      </c>
      <c r="D25" s="31" t="inlineStr">
        <is>
          <t>cash_line</t>
        </is>
      </c>
      <c r="E25" s="31" t="inlineStr">
        <is>
          <t>7 line types</t>
        </is>
      </c>
      <c r="F25" s="31" t="inlineStr">
        <is>
          <t>Should have</t>
        </is>
      </c>
      <c r="G25" s="31" t="inlineStr">
        <is>
          <t>Answers the question of why Week 5 is low in one click.</t>
        </is>
      </c>
      <c r="H25" s="33" t="inlineStr">
        <is>
          <t>Not built</t>
        </is>
      </c>
    </row>
    <row r="26" ht="15" customHeight="1">
      <c r="A26" s="34" t="n">
        <v>22</v>
      </c>
      <c r="B26" s="31" t="inlineStr">
        <is>
          <t>Scenario reset</t>
        </is>
      </c>
      <c r="C26" s="31" t="inlineStr">
        <is>
          <t>All four agents</t>
        </is>
      </c>
      <c r="D26" s="31" t="inlineStr">
        <is>
          <t>baseline versus simulated</t>
        </is>
      </c>
      <c r="E26" s="31" t="inlineStr">
        <is>
          <t>Application state</t>
        </is>
      </c>
      <c r="F26" s="31" t="inlineStr">
        <is>
          <t>Should have</t>
        </is>
      </c>
      <c r="G26" s="31" t="inlineStr">
        <is>
          <t>Lets you reset cleanly between takes while recording the demo video.</t>
        </is>
      </c>
      <c r="H26" s="33" t="inlineStr">
        <is>
          <t>Not built</t>
        </is>
      </c>
    </row>
  </sheetData>
  <autoFilter ref="A4:H26"/>
  <mergeCells count="2">
    <mergeCell ref="A2:H2"/>
    <mergeCell ref="A1:H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H18"/>
  <sheetViews>
    <sheetView zoomScaleNormal="100" workbookViewId="0">
      <pane ySplit="4" topLeftCell="A5" activePane="bottomLeft" state="frozen"/>
      <selection pane="bottomLeft" activeCell="A1" sqref="A1"/>
    </sheetView>
  </sheetViews>
  <sheetFormatPr baseColWidth="8" defaultColWidth="8.7265625" defaultRowHeight="14.5"/>
  <cols>
    <col width="5" customWidth="1" min="1" max="1"/>
    <col width="40" customWidth="1" min="2" max="2"/>
    <col width="72" customWidth="1" min="3" max="3"/>
    <col width="30" customWidth="1" min="4" max="4"/>
    <col width="14" customWidth="1" min="5" max="5"/>
    <col width="16" customWidth="1" min="6" max="6"/>
    <col width="12" customWidth="1" min="7" max="7"/>
    <col width="15" customWidth="1" min="8" max="8"/>
  </cols>
  <sheetData>
    <row r="1" ht="18" customHeight="1">
      <c r="A1" s="1" t="inlineStr">
        <is>
          <t>Go / no-go gate before the CFO event</t>
        </is>
      </c>
    </row>
    <row r="2" ht="15" customHeight="1">
      <c r="A2" s="2" t="inlineStr">
        <is>
          <t>Work top to bottom. Do not start recording the demo video until every 'Must clear' row is green.</t>
        </is>
      </c>
    </row>
    <row r="4" ht="15" customHeight="1">
      <c r="A4" s="6" t="inlineStr">
        <is>
          <t>#</t>
        </is>
      </c>
      <c r="B4" s="6" t="inlineStr">
        <is>
          <t>Gate</t>
        </is>
      </c>
      <c r="C4" s="6" t="inlineStr">
        <is>
          <t>Why it matters for a CFO audience</t>
        </is>
      </c>
      <c r="D4" s="6" t="inlineStr">
        <is>
          <t>Depends on</t>
        </is>
      </c>
      <c r="E4" s="6" t="inlineStr">
        <is>
          <t>Level</t>
        </is>
      </c>
      <c r="F4" s="6" t="inlineStr">
        <is>
          <t>Owner</t>
        </is>
      </c>
      <c r="G4" s="6" t="inlineStr">
        <is>
          <t>Due</t>
        </is>
      </c>
      <c r="H4" s="6" t="inlineStr">
        <is>
          <t>Status</t>
        </is>
      </c>
    </row>
    <row r="5" ht="23.25" customHeight="1">
      <c r="A5" s="4" t="n">
        <v>1</v>
      </c>
      <c r="B5" s="5" t="inlineStr">
        <is>
          <t>Leakage charts show real amounts</t>
        </is>
      </c>
      <c r="C5" s="5" t="inlineStr">
        <is>
          <t>The Leakage agent currently opens on a chart of five zeros. A CFO will read that as a broken product in the first ten seconds.</t>
        </is>
      </c>
      <c r="D5" s="5" t="inlineStr">
        <is>
          <t>QC-001, QC-024</t>
        </is>
      </c>
      <c r="E5" s="5" t="inlineStr">
        <is>
          <t>Must clear</t>
        </is>
      </c>
      <c r="F5" s="5" t="inlineStr">
        <is>
          <t>Backend</t>
        </is>
      </c>
      <c r="G5" s="5" t="inlineStr">
        <is>
          <t>2026-07-31</t>
        </is>
      </c>
      <c r="H5" s="8" t="inlineStr">
        <is>
          <t>Not started</t>
        </is>
      </c>
    </row>
    <row r="6" ht="23.25" customHeight="1">
      <c r="A6" s="4" t="n">
        <v>2</v>
      </c>
      <c r="B6" s="5" t="inlineStr">
        <is>
          <t>All four agents run on one dataset</t>
        </is>
      </c>
      <c r="C6" s="5" t="inlineStr">
        <is>
          <t>The moment someone asks how DSO relates to revenue, the 15x gap is exposed and the whole model loses credibility.</t>
        </is>
      </c>
      <c r="D6" s="5" t="inlineStr">
        <is>
          <t>QC-002, QC-003, QC-044</t>
        </is>
      </c>
      <c r="E6" s="5" t="inlineStr">
        <is>
          <t>Must clear</t>
        </is>
      </c>
      <c r="F6" s="5" t="inlineStr">
        <is>
          <t>Backend</t>
        </is>
      </c>
      <c r="G6" s="5" t="inlineStr">
        <is>
          <t>2026-08-04</t>
        </is>
      </c>
      <c r="H6" s="8" t="inlineStr">
        <is>
          <t>Not started</t>
        </is>
      </c>
    </row>
    <row r="7" ht="23.25" customHeight="1">
      <c r="A7" s="4" t="n">
        <v>3</v>
      </c>
      <c r="B7" s="5" t="inlineStr">
        <is>
          <t>Action impact strings are computed, not typed</t>
        </is>
      </c>
      <c r="C7" s="5" t="inlineStr">
        <is>
          <t>Five action cards currently show arithmetic that contradicts their own text. One screenshot of that ends the deal.</t>
        </is>
      </c>
      <c r="D7" s="5" t="inlineStr">
        <is>
          <t>QC-004, QC-005, QC-016, QC-017, QC-019</t>
        </is>
      </c>
      <c r="E7" s="5" t="inlineStr">
        <is>
          <t>Must clear</t>
        </is>
      </c>
      <c r="F7" s="5" t="inlineStr">
        <is>
          <t>Backend</t>
        </is>
      </c>
      <c r="G7" s="5" t="inlineStr">
        <is>
          <t>2026-08-04</t>
        </is>
      </c>
      <c r="H7" s="8" t="inlineStr">
        <is>
          <t>Not started</t>
        </is>
      </c>
    </row>
    <row r="8" ht="15" customHeight="1">
      <c r="A8" s="4" t="n">
        <v>4</v>
      </c>
      <c r="B8" s="5" t="inlineStr">
        <is>
          <t>Conversation history cleaned or hidden</t>
        </is>
      </c>
      <c r="C8" s="5" t="inlineStr">
        <is>
          <t>Roughly 190 saved conversations include 'asdsad', 'hello world' and 'test test test'.</t>
        </is>
      </c>
      <c r="D8" s="5" t="inlineStr">
        <is>
          <t>QC-006</t>
        </is>
      </c>
      <c r="E8" s="5" t="inlineStr">
        <is>
          <t>Must clear</t>
        </is>
      </c>
      <c r="F8" s="5" t="inlineStr">
        <is>
          <t>Demo owner</t>
        </is>
      </c>
      <c r="G8" s="5" t="inlineStr">
        <is>
          <t>2026-07-30</t>
        </is>
      </c>
      <c r="H8" s="8" t="inlineStr">
        <is>
          <t>Not started</t>
        </is>
      </c>
    </row>
    <row r="9" ht="23.25" customHeight="1">
      <c r="A9" s="4" t="n">
        <v>5</v>
      </c>
      <c r="B9" s="5" t="inlineStr">
        <is>
          <t>The word 'illustrative' removed from anything visible</t>
        </is>
      </c>
      <c r="C9" s="5" t="inlineStr">
        <is>
          <t>Telling a room of CFOs the numbers are illustrative undercuts everything you just showed them.</t>
        </is>
      </c>
      <c r="D9" s="5" t="inlineStr">
        <is>
          <t>QC-039</t>
        </is>
      </c>
      <c r="E9" s="5" t="inlineStr">
        <is>
          <t>Must clear</t>
        </is>
      </c>
      <c r="F9" s="5" t="inlineStr">
        <is>
          <t>Backend</t>
        </is>
      </c>
      <c r="G9" s="5" t="inlineStr">
        <is>
          <t>2026-07-31</t>
        </is>
      </c>
      <c r="H9" s="8" t="inlineStr">
        <is>
          <t>Not started</t>
        </is>
      </c>
    </row>
    <row r="10" ht="23.25" customHeight="1">
      <c r="A10" s="4" t="n">
        <v>6</v>
      </c>
      <c r="B10" s="5" t="inlineStr">
        <is>
          <t>One number per concept</t>
        </is>
      </c>
      <c r="C10" s="5" t="inlineStr">
        <is>
          <t>High-risk exposure, top 5, cost variance and the EBITDA target each currently have two or three values.</t>
        </is>
      </c>
      <c r="D10" s="5" t="inlineStr">
        <is>
          <t>QC-007, QC-008, QC-009, QC-011, QC-014</t>
        </is>
      </c>
      <c r="E10" s="5" t="inlineStr">
        <is>
          <t>Must clear</t>
        </is>
      </c>
      <c r="F10" s="5" t="inlineStr">
        <is>
          <t>Backend</t>
        </is>
      </c>
      <c r="G10" s="5" t="inlineStr">
        <is>
          <t>2026-08-04</t>
        </is>
      </c>
      <c r="H10" s="8" t="inlineStr">
        <is>
          <t>Not started</t>
        </is>
      </c>
    </row>
    <row r="11" ht="15" customHeight="1">
      <c r="A11" s="4" t="n">
        <v>7</v>
      </c>
      <c r="B11" s="5" t="inlineStr">
        <is>
          <t>Every chart states its period</t>
        </is>
      </c>
      <c r="C11" s="5" t="inlineStr">
        <is>
          <t>The first question from the floor will be whether the figure is monthly or annual.</t>
        </is>
      </c>
      <c r="D11" s="5" t="inlineStr">
        <is>
          <t>QC-035</t>
        </is>
      </c>
      <c r="E11" s="5" t="inlineStr">
        <is>
          <t>Must clear</t>
        </is>
      </c>
      <c r="F11" s="5" t="inlineStr">
        <is>
          <t>Frontend</t>
        </is>
      </c>
      <c r="G11" s="5" t="inlineStr">
        <is>
          <t>2026-08-04</t>
        </is>
      </c>
      <c r="H11" s="8" t="inlineStr">
        <is>
          <t>Not started</t>
        </is>
      </c>
    </row>
    <row r="12" ht="15" customHeight="1">
      <c r="A12" s="4" t="n">
        <v>8</v>
      </c>
      <c r="B12" s="5" t="inlineStr">
        <is>
          <t>Alerts and actions deduplicated</t>
        </is>
      </c>
      <c r="C12" s="5" t="inlineStr">
        <is>
          <t>47 alerts and 47 actions telling eight stories reads as a model that loops.</t>
        </is>
      </c>
      <c r="D12" s="5" t="inlineStr">
        <is>
          <t>QC-021, QC-023</t>
        </is>
      </c>
      <c r="E12" s="5" t="inlineStr">
        <is>
          <t>Must clear</t>
        </is>
      </c>
      <c r="F12" s="5" t="inlineStr">
        <is>
          <t>Backend</t>
        </is>
      </c>
      <c r="G12" s="5" t="inlineStr">
        <is>
          <t>2026-08-06</t>
        </is>
      </c>
      <c r="H12" s="8" t="inlineStr">
        <is>
          <t>Not started</t>
        </is>
      </c>
    </row>
    <row r="13" ht="15" customHeight="1">
      <c r="A13" s="4" t="n">
        <v>9</v>
      </c>
      <c r="B13" s="5" t="inlineStr">
        <is>
          <t>Cross-agent handover actually computes</t>
        </is>
      </c>
      <c r="C13" s="5" t="inlineStr">
        <is>
          <t>The agentic handover is the differentiator. Right now it is narrative only.</t>
        </is>
      </c>
      <c r="D13" s="5" t="inlineStr">
        <is>
          <t>QC-047, QC-022</t>
        </is>
      </c>
      <c r="E13" s="5" t="inlineStr">
        <is>
          <t>Must clear</t>
        </is>
      </c>
      <c r="F13" s="5" t="inlineStr">
        <is>
          <t>Backend</t>
        </is>
      </c>
      <c r="G13" s="5" t="inlineStr">
        <is>
          <t>2026-08-08</t>
        </is>
      </c>
      <c r="H13" s="8" t="inlineStr">
        <is>
          <t>Not started</t>
        </is>
      </c>
    </row>
    <row r="14" ht="15" customHeight="1">
      <c r="A14" s="4" t="n">
        <v>10</v>
      </c>
      <c r="B14" s="5" t="inlineStr">
        <is>
          <t>Filters live for entity, period and category</t>
        </is>
      </c>
      <c r="C14" s="5" t="inlineStr">
        <is>
          <t>Without these the demo cannot answer a follow-up question.</t>
        </is>
      </c>
      <c r="D14" s="5" t="inlineStr">
        <is>
          <t>QC-043</t>
        </is>
      </c>
      <c r="E14" s="5" t="inlineStr">
        <is>
          <t>Should clear</t>
        </is>
      </c>
      <c r="F14" s="5" t="inlineStr">
        <is>
          <t>Full stack</t>
        </is>
      </c>
      <c r="G14" s="5" t="inlineStr">
        <is>
          <t>2026-08-11</t>
        </is>
      </c>
      <c r="H14" s="8" t="inlineStr">
        <is>
          <t>Not started</t>
        </is>
      </c>
    </row>
    <row r="15" ht="15" customHeight="1">
      <c r="A15" s="4" t="n">
        <v>11</v>
      </c>
      <c r="B15" s="5" t="inlineStr">
        <is>
          <t>Manual checklist fully run, twice</t>
        </is>
      </c>
      <c r="C15" s="5" t="inlineStr">
        <is>
          <t>Sheet 02. Nothing in this review covered buttons, menus, sliders or chat responses.</t>
        </is>
      </c>
      <c r="D15" s="5" t="inlineStr">
        <is>
          <t>QC-045</t>
        </is>
      </c>
      <c r="E15" s="5" t="inlineStr">
        <is>
          <t>Must clear</t>
        </is>
      </c>
      <c r="F15" s="5" t="inlineStr">
        <is>
          <t>Demo owner</t>
        </is>
      </c>
      <c r="G15" s="5" t="inlineStr">
        <is>
          <t>2026-08-11</t>
        </is>
      </c>
      <c r="H15" s="8" t="inlineStr">
        <is>
          <t>Not started</t>
        </is>
      </c>
    </row>
    <row r="16" ht="15" customHeight="1">
      <c r="A16" s="4" t="n">
        <v>12</v>
      </c>
      <c r="B16" s="5" t="inlineStr">
        <is>
          <t>Cold start eliminated</t>
        </is>
      </c>
      <c r="C16" s="5" t="inlineStr">
        <is>
          <t>Azure Container Apps can scale to zero. A 30-second load in front of the room is fatal.</t>
        </is>
      </c>
      <c r="D16" s="5" t="inlineStr">
        <is>
          <t>MT-029</t>
        </is>
      </c>
      <c r="E16" s="5" t="inlineStr">
        <is>
          <t>Must clear</t>
        </is>
      </c>
      <c r="F16" s="5" t="inlineStr">
        <is>
          <t>Infrastructure</t>
        </is>
      </c>
      <c r="G16" s="5" t="inlineStr">
        <is>
          <t>2026-08-11</t>
        </is>
      </c>
      <c r="H16" s="8" t="inlineStr">
        <is>
          <t>Not started</t>
        </is>
      </c>
    </row>
    <row r="17" ht="23.25" customHeight="1">
      <c r="A17" s="4" t="n">
        <v>13</v>
      </c>
      <c r="B17" s="5" t="inlineStr">
        <is>
          <t>Price variance reconciled</t>
        </is>
      </c>
      <c r="C17" s="5" t="inlineStr">
        <is>
          <t>A 7.6% price decline sitting next to a 390 mn price variance is the one thing a sharp CFO will catch.</t>
        </is>
      </c>
      <c r="D17" s="5" t="inlineStr">
        <is>
          <t>QC-010</t>
        </is>
      </c>
      <c r="E17" s="5" t="inlineStr">
        <is>
          <t>Must clear</t>
        </is>
      </c>
      <c r="F17" s="5" t="inlineStr">
        <is>
          <t>Backend</t>
        </is>
      </c>
      <c r="G17" s="5" t="inlineStr">
        <is>
          <t>2026-08-06</t>
        </is>
      </c>
      <c r="H17" s="8" t="inlineStr">
        <is>
          <t>Not started</t>
        </is>
      </c>
    </row>
    <row r="18" ht="15" customHeight="1">
      <c r="A18" s="4" t="n">
        <v>14</v>
      </c>
      <c r="B18" s="5" t="inlineStr">
        <is>
          <t>Full dry run at event resolution</t>
        </is>
      </c>
      <c r="C18" s="5" t="inlineStr">
        <is>
          <t>Projector legibility and the 4-minute time budget.</t>
        </is>
      </c>
      <c r="D18" s="5" t="inlineStr">
        <is>
          <t>MT-026, MT-031</t>
        </is>
      </c>
      <c r="E18" s="5" t="inlineStr">
        <is>
          <t>Must clear</t>
        </is>
      </c>
      <c r="F18" s="5" t="inlineStr">
        <is>
          <t>Demo owner</t>
        </is>
      </c>
      <c r="G18" s="5" t="inlineStr">
        <is>
          <t>2026-08-13</t>
        </is>
      </c>
      <c r="H18" s="8" t="inlineStr">
        <is>
          <t>Not started</t>
        </is>
      </c>
    </row>
  </sheetData>
  <conditionalFormatting sqref="E5:E18">
    <cfRule type="cellIs" priority="4" operator="equal" dxfId="47">
      <formula>"Must clear"</formula>
    </cfRule>
  </conditionalFormatting>
  <conditionalFormatting sqref="H5:H18">
    <cfRule type="cellIs" priority="2" operator="equal" dxfId="46">
      <formula>"Done"</formula>
    </cfRule>
    <cfRule type="cellIs" priority="3" operator="equal" dxfId="45">
      <formula>"Blocked"</formula>
    </cfRule>
  </conditionalFormatting>
  <dataValidations count="1">
    <dataValidation sqref="H5:H18" showDropDown="0" showInputMessage="0" showErrorMessage="0" allowBlank="1" type="list">
      <formula1>"Not started,In progress,Done,Blocked"</formula1>
      <formula2>0</formula2>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H18"/>
  <sheetViews>
    <sheetView showGridLines="0" topLeftCell="C1" zoomScaleNormal="100" workbookViewId="0">
      <pane ySplit="4" topLeftCell="A5" activePane="bottomLeft" state="frozen"/>
      <selection pane="bottomLeft" activeCell="P9" sqref="P9"/>
    </sheetView>
  </sheetViews>
  <sheetFormatPr baseColWidth="8" defaultColWidth="8.7265625" defaultRowHeight="14.5"/>
  <cols>
    <col width="5" customWidth="1" style="10" min="1" max="1"/>
    <col width="42" customWidth="1" style="10" min="2" max="2"/>
    <col width="74" customWidth="1" style="10" min="3" max="3"/>
    <col width="32" customWidth="1" style="10" min="4" max="4"/>
    <col width="16" customWidth="1" style="10" min="5" max="5"/>
    <col width="18" customWidth="1" style="10" min="6" max="6"/>
    <col width="13" customWidth="1" style="10" min="7" max="7"/>
    <col width="15" customWidth="1" style="10" min="8" max="8"/>
    <col width="8.7265625" customWidth="1" style="10" min="9" max="16384"/>
  </cols>
  <sheetData>
    <row r="1" ht="19.5" customHeight="1">
      <c r="A1" s="36" t="inlineStr">
        <is>
          <t>Gate Checking go / no-go sebelum event CFO</t>
        </is>
      </c>
    </row>
    <row r="2">
      <c r="A2" s="37" t="inlineStr">
        <is>
          <t>Kerjakan dari atas ke bawah. Jangan mulai merekam video demo sebelum semua baris 'Wajib tuntas' berstatus Selesai.</t>
        </is>
      </c>
    </row>
    <row r="4">
      <c r="A4" s="35" t="inlineStr">
        <is>
          <t>No</t>
        </is>
      </c>
      <c r="B4" s="35" t="inlineStr">
        <is>
          <t>Gate</t>
        </is>
      </c>
      <c r="C4" s="35" t="inlineStr">
        <is>
          <t>Mengapa penting bagi audiens CFO</t>
        </is>
      </c>
      <c r="D4" s="35" t="inlineStr">
        <is>
          <t>Bergantung pada</t>
        </is>
      </c>
      <c r="E4" s="35" t="inlineStr">
        <is>
          <t>Tingkat</t>
        </is>
      </c>
      <c r="F4" s="35" t="inlineStr">
        <is>
          <t>Penanggung jawab</t>
        </is>
      </c>
      <c r="G4" s="35" t="inlineStr">
        <is>
          <t>Tenggat</t>
        </is>
      </c>
      <c r="H4" s="35" t="inlineStr">
        <is>
          <t>Status</t>
        </is>
      </c>
    </row>
    <row r="5" ht="26" customHeight="1">
      <c r="A5" s="34" t="n">
        <v>1</v>
      </c>
      <c r="B5" s="31" t="inlineStr">
        <is>
          <t>Grafik Leakage menampilkan angka sungguhan</t>
        </is>
      </c>
      <c r="C5" s="31" t="inlineStr">
        <is>
          <t>Agent Leakage saat ini terbuka pada grafik berisi lima angka nol. CFO akan membacanya sebagai produk rusak dalam sepuluh detik pertama.</t>
        </is>
      </c>
      <c r="D5" s="31" t="inlineStr">
        <is>
          <t>QC-001, QC-024</t>
        </is>
      </c>
      <c r="E5" s="31" t="inlineStr">
        <is>
          <t>Wajib tuntas</t>
        </is>
      </c>
      <c r="F5" s="31" t="inlineStr">
        <is>
          <t>Backend</t>
        </is>
      </c>
      <c r="G5" s="31" t="inlineStr">
        <is>
          <t>2026-07-31</t>
        </is>
      </c>
      <c r="H5" s="33" t="inlineStr">
        <is>
          <t>Belum mulai</t>
        </is>
      </c>
    </row>
    <row r="6" ht="26" customHeight="1">
      <c r="A6" s="34" t="n">
        <v>2</v>
      </c>
      <c r="B6" s="31" t="inlineStr">
        <is>
          <t>Keempat agent memakai satu dataset</t>
        </is>
      </c>
      <c r="C6" s="31" t="inlineStr">
        <is>
          <t>Begitu ada yang bertanya bagaimana DSO berhubungan dengan pendapatan, selisih 15 kali lipat itu terbuka dan seluruh model kehilangan kredibilitas.</t>
        </is>
      </c>
      <c r="D6" s="31" t="inlineStr">
        <is>
          <t>QC-002, QC-003, QC-044</t>
        </is>
      </c>
      <c r="E6" s="31" t="inlineStr">
        <is>
          <t>Wajib tuntas</t>
        </is>
      </c>
      <c r="F6" s="31" t="inlineStr">
        <is>
          <t>Backend</t>
        </is>
      </c>
      <c r="G6" s="31" t="inlineStr">
        <is>
          <t>2026-08-04</t>
        </is>
      </c>
      <c r="H6" s="33" t="inlineStr">
        <is>
          <t>Belum mulai</t>
        </is>
      </c>
    </row>
    <row r="7" ht="26" customHeight="1">
      <c r="A7" s="34" t="n">
        <v>3</v>
      </c>
      <c r="B7" s="31" t="inlineStr">
        <is>
          <t>Teks dampak aksi dihitung, bukan diketik</t>
        </is>
      </c>
      <c r="C7" s="31" t="inlineStr">
        <is>
          <t>Lima action card saat ini menampilkan perhitungan yang bertentangan dengan teksnya sendiri. Satu tangkapan layar saja bisa menggagalkan peluang.</t>
        </is>
      </c>
      <c r="D7" s="31" t="inlineStr">
        <is>
          <t>QC-004, QC-005, QC-016, QC-017, QC-019</t>
        </is>
      </c>
      <c r="E7" s="31" t="inlineStr">
        <is>
          <t>Wajib tuntas</t>
        </is>
      </c>
      <c r="F7" s="31" t="inlineStr">
        <is>
          <t>Backend</t>
        </is>
      </c>
      <c r="G7" s="31" t="inlineStr">
        <is>
          <t>2026-08-04</t>
        </is>
      </c>
      <c r="H7" s="33" t="inlineStr">
        <is>
          <t>Belum mulai</t>
        </is>
      </c>
    </row>
    <row r="8">
      <c r="A8" s="34" t="n">
        <v>4</v>
      </c>
      <c r="B8" s="31" t="inlineStr">
        <is>
          <t>Riwayat percakapan dibersihkan atau disembunyikan</t>
        </is>
      </c>
      <c r="C8" s="31" t="inlineStr">
        <is>
          <t>Sekitar 190 percakapan tersimpan berisi 'asdsad', 'hello world', dan 'test test test'.</t>
        </is>
      </c>
      <c r="D8" s="31" t="inlineStr">
        <is>
          <t>QC-006</t>
        </is>
      </c>
      <c r="E8" s="31" t="inlineStr">
        <is>
          <t>Wajib tuntas</t>
        </is>
      </c>
      <c r="F8" s="31" t="inlineStr">
        <is>
          <t>Pemilik demo</t>
        </is>
      </c>
      <c r="G8" s="31" t="inlineStr">
        <is>
          <t>2026-07-30</t>
        </is>
      </c>
      <c r="H8" s="33" t="inlineStr">
        <is>
          <t>Belum mulai</t>
        </is>
      </c>
    </row>
    <row r="9" ht="26" customHeight="1">
      <c r="A9" s="34" t="n">
        <v>5</v>
      </c>
      <c r="B9" s="31" t="inlineStr">
        <is>
          <t>Kata 'illustrative' dihapus dari yang terlihat</t>
        </is>
      </c>
      <c r="C9" s="31" t="inlineStr">
        <is>
          <t>Memberi tahu ruangan berisi CFO bahwa angkanya hanya ilustrasi akan meruntuhkan semua yang baru saja ditunjukkan. Cukup dibuktikan dengan tingkat confidence saja</t>
        </is>
      </c>
      <c r="D9" s="31" t="inlineStr">
        <is>
          <t>QC-039</t>
        </is>
      </c>
      <c r="E9" s="31" t="inlineStr">
        <is>
          <t>Wajib tuntas</t>
        </is>
      </c>
      <c r="F9" s="31" t="inlineStr">
        <is>
          <t>Backend</t>
        </is>
      </c>
      <c r="G9" s="31" t="inlineStr">
        <is>
          <t>2026-07-31</t>
        </is>
      </c>
      <c r="H9" s="33" t="inlineStr">
        <is>
          <t>Belum mulai</t>
        </is>
      </c>
    </row>
    <row r="10" ht="26" customHeight="1">
      <c r="A10" s="34" t="n">
        <v>6</v>
      </c>
      <c r="B10" s="31" t="inlineStr">
        <is>
          <t>Satu angka untuk satu pengertian</t>
        </is>
      </c>
      <c r="C10" s="31" t="inlineStr">
        <is>
          <t>High-risk exposure, top 5, varians biaya, dan target EBITDA masing-masing saat ini punya dua sampai tiga nilai berbeda.</t>
        </is>
      </c>
      <c r="D10" s="31" t="inlineStr">
        <is>
          <t>QC-007, QC-008, QC-009, QC-011, QC-013, QC-014</t>
        </is>
      </c>
      <c r="E10" s="31" t="inlineStr">
        <is>
          <t>Wajib tuntas</t>
        </is>
      </c>
      <c r="F10" s="31" t="inlineStr">
        <is>
          <t>Backend</t>
        </is>
      </c>
      <c r="G10" s="31" t="inlineStr">
        <is>
          <t>2026-08-04</t>
        </is>
      </c>
      <c r="H10" s="33" t="inlineStr">
        <is>
          <t>Belum mulai</t>
        </is>
      </c>
    </row>
    <row r="11">
      <c r="A11" s="34" t="n">
        <v>7</v>
      </c>
      <c r="B11" s="31" t="inlineStr">
        <is>
          <t>Setiap grafik mencantumkan periodenya</t>
        </is>
      </c>
      <c r="C11" s="31" t="inlineStr">
        <is>
          <t>Pertanyaan pertama dari lantai akan berupa apakah angka itu bulanan atau tahunan.</t>
        </is>
      </c>
      <c r="D11" s="31" t="inlineStr">
        <is>
          <t>QC-035</t>
        </is>
      </c>
      <c r="E11" s="31" t="inlineStr">
        <is>
          <t>Wajib tuntas</t>
        </is>
      </c>
      <c r="F11" s="31" t="inlineStr">
        <is>
          <t>Frontend</t>
        </is>
      </c>
      <c r="G11" s="31" t="inlineStr">
        <is>
          <t>2026-08-04</t>
        </is>
      </c>
      <c r="H11" s="33" t="inlineStr">
        <is>
          <t>Belum mulai</t>
        </is>
      </c>
    </row>
    <row r="12" ht="26" customHeight="1">
      <c r="A12" s="34" t="n">
        <v>8</v>
      </c>
      <c r="B12" s="31" t="inlineStr">
        <is>
          <t>Alert dan aksi dirapikan dari duplikasi</t>
        </is>
      </c>
      <c r="C12" s="31" t="inlineStr">
        <is>
          <t>47 alert dan 47 aksi yang hanya menceritakan delapan hal terbaca sebagai model yang berputar-putar.</t>
        </is>
      </c>
      <c r="D12" s="31" t="inlineStr">
        <is>
          <t>QC-021, QC-023</t>
        </is>
      </c>
      <c r="E12" s="31" t="inlineStr">
        <is>
          <t>Wajib tuntas</t>
        </is>
      </c>
      <c r="F12" s="31" t="inlineStr">
        <is>
          <t>Backend</t>
        </is>
      </c>
      <c r="G12" s="31" t="inlineStr">
        <is>
          <t>2026-08-06</t>
        </is>
      </c>
      <c r="H12" s="33" t="inlineStr">
        <is>
          <t>Belum mulai</t>
        </is>
      </c>
    </row>
    <row r="13">
      <c r="A13" s="34" t="n">
        <v>9</v>
      </c>
      <c r="B13" s="31" t="inlineStr">
        <is>
          <t>Perpindahan antar agent benar-benar terhitung</t>
        </is>
      </c>
      <c r="C13" s="31" t="inlineStr">
        <is>
          <t>Perpindahan agentic adalah pembeda utama. Saat ini masih sebatas narasi.</t>
        </is>
      </c>
      <c r="D13" s="31" t="inlineStr">
        <is>
          <t>QC-047, QC-022</t>
        </is>
      </c>
      <c r="E13" s="31" t="inlineStr">
        <is>
          <t>Wajib tuntas</t>
        </is>
      </c>
      <c r="F13" s="31" t="inlineStr">
        <is>
          <t>Backend</t>
        </is>
      </c>
      <c r="G13" s="31" t="inlineStr">
        <is>
          <t>2026-08-08</t>
        </is>
      </c>
      <c r="H13" s="33" t="inlineStr">
        <is>
          <t>Belum mulai</t>
        </is>
      </c>
    </row>
    <row r="14">
      <c r="A14" s="34" t="n">
        <v>10</v>
      </c>
      <c r="B14" s="31" t="inlineStr">
        <is>
          <t>Filter entity, periode, dan kategori aktif</t>
        </is>
      </c>
      <c r="C14" s="31" t="inlineStr">
        <is>
          <t>Tanpa ketiganya, demo tidak bisa menjawab pertanyaan lanjutan.</t>
        </is>
      </c>
      <c r="D14" s="31" t="inlineStr">
        <is>
          <t>QC-043</t>
        </is>
      </c>
      <c r="E14" s="31" t="inlineStr">
        <is>
          <t>Sebaiknya tuntas</t>
        </is>
      </c>
      <c r="F14" s="31" t="inlineStr">
        <is>
          <t>Full stack</t>
        </is>
      </c>
      <c r="G14" s="31" t="inlineStr">
        <is>
          <t>2026-08-11</t>
        </is>
      </c>
      <c r="H14" s="33" t="inlineStr">
        <is>
          <t>Belum mulai</t>
        </is>
      </c>
    </row>
    <row r="15" ht="26" customHeight="1">
      <c r="A15" s="34" t="n">
        <v>11</v>
      </c>
      <c r="B15" s="31" t="inlineStr">
        <is>
          <t>Daftar uji manual dijalankan penuh, dua kali</t>
        </is>
      </c>
      <c r="C15" s="31" t="inlineStr">
        <is>
          <t>Sheet 02B. Tidak ada satu pun bagian tombol, menu, slider, dan chat yang tercakup dalam review ini.</t>
        </is>
      </c>
      <c r="D15" s="31" t="inlineStr">
        <is>
          <t>QC-045</t>
        </is>
      </c>
      <c r="E15" s="31" t="inlineStr">
        <is>
          <t>Wajib tuntas</t>
        </is>
      </c>
      <c r="F15" s="31" t="inlineStr">
        <is>
          <t>Pemilik demo</t>
        </is>
      </c>
      <c r="G15" s="31" t="inlineStr">
        <is>
          <t>2026-08-11</t>
        </is>
      </c>
      <c r="H15" s="33" t="inlineStr">
        <is>
          <t>Sedang dikerjakan</t>
        </is>
      </c>
    </row>
    <row r="16">
      <c r="A16" s="34" t="n">
        <v>12</v>
      </c>
      <c r="B16" s="31" t="inlineStr">
        <is>
          <t>Cold start dihilangkan</t>
        </is>
      </c>
      <c r="C16" s="31" t="inlineStr">
        <is>
          <t>Azure Container Apps bisa turun ke nol instance. Jeda 30 detik di depan ruangan berakibat fatal.</t>
        </is>
      </c>
      <c r="D16" s="31" t="inlineStr">
        <is>
          <t>MT-029</t>
        </is>
      </c>
      <c r="E16" s="31" t="inlineStr">
        <is>
          <t>Wajib tuntas</t>
        </is>
      </c>
      <c r="F16" s="31" t="inlineStr">
        <is>
          <t>Infrastruktur</t>
        </is>
      </c>
      <c r="G16" s="31" t="inlineStr">
        <is>
          <t>2026-08-11</t>
        </is>
      </c>
      <c r="H16" s="33" t="inlineStr">
        <is>
          <t>Belum mulai</t>
        </is>
      </c>
    </row>
    <row r="17" ht="26" customHeight="1">
      <c r="A17" s="34" t="n">
        <v>13</v>
      </c>
      <c r="B17" s="31" t="inlineStr">
        <is>
          <t>Varians harga direkonsiliasi</t>
        </is>
      </c>
      <c r="C17" s="31" t="inlineStr">
        <is>
          <t>Penurunan harga 7,6% yang bersebelahan dengan varians harga 390 mn adalah satu hal yang paling mungkin ditangkap CFO yang teliti.</t>
        </is>
      </c>
      <c r="D17" s="31" t="inlineStr">
        <is>
          <t>QC-010</t>
        </is>
      </c>
      <c r="E17" s="31" t="inlineStr">
        <is>
          <t>Wajib tuntas</t>
        </is>
      </c>
      <c r="F17" s="31" t="inlineStr">
        <is>
          <t>Backend</t>
        </is>
      </c>
      <c r="G17" s="31" t="inlineStr">
        <is>
          <t>2026-08-06</t>
        </is>
      </c>
      <c r="H17" s="33" t="inlineStr">
        <is>
          <t>Belum mulai</t>
        </is>
      </c>
    </row>
    <row r="18">
      <c r="A18" s="34" t="n">
        <v>14</v>
      </c>
      <c r="B18" s="31" t="inlineStr">
        <is>
          <t>Gladi bersih pada resolusi event</t>
        </is>
      </c>
      <c r="C18" s="31" t="inlineStr">
        <is>
          <t>Storylinde dengan batas waktu 4 menit.</t>
        </is>
      </c>
      <c r="D18" s="31" t="inlineStr">
        <is>
          <t>MT-026, MT-031</t>
        </is>
      </c>
      <c r="E18" s="31" t="inlineStr">
        <is>
          <t>Wajib tuntas</t>
        </is>
      </c>
      <c r="F18" s="31" t="inlineStr">
        <is>
          <t>Pemilik demo</t>
        </is>
      </c>
      <c r="G18" s="31" t="inlineStr">
        <is>
          <t>2026-08-13</t>
        </is>
      </c>
      <c r="H18" s="33" t="inlineStr">
        <is>
          <t>Belum mulai</t>
        </is>
      </c>
    </row>
  </sheetData>
  <mergeCells count="2">
    <mergeCell ref="A2:H2"/>
    <mergeCell ref="A1:H1"/>
  </mergeCells>
  <conditionalFormatting sqref="E5:E18">
    <cfRule type="cellIs" priority="3" operator="equal" dxfId="47">
      <formula>"Wajib tuntas"</formula>
    </cfRule>
  </conditionalFormatting>
  <conditionalFormatting sqref="H5:H18">
    <cfRule type="cellIs" priority="1" operator="equal" dxfId="46">
      <formula>"Selesai"</formula>
    </cfRule>
    <cfRule type="cellIs" priority="2" operator="equal" dxfId="45">
      <formula>"Terhambat"</formula>
    </cfRule>
  </conditionalFormatting>
  <dataValidations count="1">
    <dataValidation sqref="H5:H18" showDropDown="0" showInputMessage="0" showErrorMessage="0" allowBlank="1" type="list">
      <formula1>"Belum mulai,Sedang dikerjakan,Selesai,Terhambat"</formula1>
      <formula2>0</formula2>
    </dataValidation>
  </dataValidation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1F4E78"/>
    <outlinePr summaryBelow="1" summaryRight="1"/>
    <pageSetUpPr/>
  </sheetPr>
  <dimension ref="A1:K119"/>
  <sheetViews>
    <sheetView showGridLines="0" workbookViewId="0">
      <selection activeCell="D113" sqref="D113"/>
    </sheetView>
  </sheetViews>
  <sheetFormatPr baseColWidth="8" defaultRowHeight="14.5"/>
  <cols>
    <col width="7.26953125" customWidth="1" min="1" max="1"/>
    <col width="12.7265625" customWidth="1" min="2" max="2"/>
    <col width="30" customWidth="1" min="3" max="3"/>
    <col width="10.90625" customWidth="1" min="4" max="4"/>
    <col width="30" customWidth="1" min="5" max="5"/>
    <col width="14.54296875" customWidth="1" min="6" max="6"/>
    <col width="16.36328125" customWidth="1" min="7" max="7"/>
    <col width="12.7265625" customWidth="1" min="8" max="8"/>
    <col width="10.90625" customWidth="1" min="9" max="10"/>
    <col width="62" customWidth="1" min="11" max="11"/>
  </cols>
  <sheetData>
    <row r="1" ht="30" customHeight="1">
      <c r="A1" s="43" t="inlineStr">
        <is>
          <t>PRIORITAS TEKNIS — AI FINANCE FORUM</t>
        </is>
      </c>
    </row>
    <row r="2">
      <c r="A2" s="44" t="inlineStr">
        <is>
          <t>Prioritas teknis berdasarkan 62 temuan QC dan hasil uji manual per 29 Juli 2026</t>
        </is>
      </c>
    </row>
    <row r="4">
      <c r="A4" s="45" t="inlineStr">
        <is>
          <t>Story-in-Brief: Fokus pertama adalah memulihkan kredibilitas angka—grafik Leakage, satu dataset lintas agent, dan dampak action yang dihitung dari model. Quick wins yang harus langsung ditutup adalah membersihkan history developer serta teks illustrative. Setelah fondasi angka stabil, selesaikan gap fitur panggung dan tes manual kritis; filter, deduplikasi, dan handoff lintas agent dikerjakan sebagai gelombang berikutnya. Jangan lakukan gladi bersih final sebelum semua prioritas Tinggi selesai dan diuji ulang.</t>
        </is>
      </c>
    </row>
    <row r="5"/>
    <row r="6"/>
    <row r="8">
      <c r="A8" s="48" t="inlineStr">
        <is>
          <t>TOTAL TEMUAN</t>
        </is>
      </c>
      <c r="C8" s="48" t="inlineStr">
        <is>
          <t>PRIORITAS TINGGI</t>
        </is>
      </c>
      <c r="E8" s="48" t="inlineStr">
        <is>
          <t>KESULITAN SUSAH</t>
        </is>
      </c>
      <c r="G8" s="48" t="inlineStr">
        <is>
          <t>DEMO BLOCKER</t>
        </is>
      </c>
      <c r="I8" s="48" t="inlineStr">
        <is>
          <t>TES MASIH BERISIKO</t>
        </is>
      </c>
    </row>
    <row r="9" ht="25" customHeight="1">
      <c r="A9" s="47">
        <f>COUNTA(A40:A101)</f>
        <v/>
      </c>
      <c r="C9" s="47">
        <f>COUNTIF(I40:I101,"Tinggi")</f>
        <v/>
      </c>
      <c r="E9" s="47">
        <f>COUNTIF(J40:J101,"Susah")</f>
        <v/>
      </c>
      <c r="G9" s="47">
        <f>COUNTIF(E40:E101,"Yes")</f>
        <v/>
      </c>
      <c r="I9" s="47">
        <f>COUNTA(A107:A119)</f>
        <v/>
      </c>
    </row>
    <row r="10" ht="25" customHeight="1"/>
    <row r="12">
      <c r="A12" s="49" t="inlineStr">
        <is>
          <t>URUTAN KERJA YANG DIREKOMENDASIKAN</t>
        </is>
      </c>
    </row>
    <row r="13" ht="29" customHeight="1">
      <c r="A13" s="57" t="inlineStr">
        <is>
          <t>Urut</t>
        </is>
      </c>
      <c r="B13" s="57" t="inlineStr">
        <is>
          <t>Workstream</t>
        </is>
      </c>
      <c r="C13" s="57" t="inlineStr">
        <is>
          <t>Prioritas</t>
        </is>
      </c>
      <c r="D13" s="57" t="inlineStr">
        <is>
          <t>Kesulitan</t>
        </is>
      </c>
      <c r="E13" s="57" t="inlineStr">
        <is>
          <t>Dasar &amp; tindakan berikutnya</t>
        </is>
      </c>
      <c r="F13" s="57" t="inlineStr">
        <is>
          <t>QC / Test terkait</t>
        </is>
      </c>
      <c r="G13" s="57" t="inlineStr">
        <is>
          <t>Owner</t>
        </is>
      </c>
      <c r="H13" s="57" t="inlineStr">
        <is>
          <t>Target</t>
        </is>
      </c>
      <c r="I13" s="51" t="n"/>
      <c r="J13" s="51" t="n"/>
    </row>
    <row r="14" ht="58" customHeight="1">
      <c r="A14" s="65" t="n">
        <v>1</v>
      </c>
      <c r="B14" s="62" t="inlineStr">
        <is>
          <t>Pulihkan angka dan grafik Leakage</t>
        </is>
      </c>
      <c r="C14" s="52" t="inlineStr">
        <is>
          <t>Tinggi</t>
        </is>
      </c>
      <c r="D14" s="52" t="inlineStr">
        <is>
          <t>Susah</t>
        </is>
      </c>
      <c r="E14" s="62" t="inlineStr">
        <is>
          <t>Perbaiki mapping amount dan satukan query KPI–rincian; tampilan awal saat ini terbaca rusak.</t>
        </is>
      </c>
      <c r="F14" s="62" t="inlineStr">
        <is>
          <t>QC-001, QC-024</t>
        </is>
      </c>
      <c r="G14" s="62" t="inlineStr">
        <is>
          <t>Backend / data</t>
        </is>
      </c>
      <c r="H14" s="53" t="n">
        <v>46234</v>
      </c>
      <c r="I14" s="51" t="n"/>
      <c r="J14" s="51" t="n"/>
    </row>
    <row r="15" ht="58" customHeight="1">
      <c r="A15" s="65" t="n">
        <v>2</v>
      </c>
      <c r="B15" s="62" t="inlineStr">
        <is>
          <t>Satukan dataset keempat agent</t>
        </is>
      </c>
      <c r="C15" s="52" t="inlineStr">
        <is>
          <t>Tinggi</t>
        </is>
      </c>
      <c r="D15" s="52" t="inlineStr">
        <is>
          <t>Susah</t>
        </is>
      </c>
      <c r="E15" s="62" t="inlineStr">
        <is>
          <t>Jadikan satu import batch/ledger sebagai sumber angka lintas Finance, Collection, Leakage, dan Treasury.</t>
        </is>
      </c>
      <c r="F15" s="62" t="inlineStr">
        <is>
          <t>QC-002, QC-003, QC-044</t>
        </is>
      </c>
      <c r="G15" s="62" t="inlineStr">
        <is>
          <t>Backend / data</t>
        </is>
      </c>
      <c r="H15" s="53" t="n">
        <v>46238</v>
      </c>
      <c r="I15" s="51" t="n"/>
      <c r="J15" s="51" t="n"/>
    </row>
    <row r="16" ht="58" customHeight="1">
      <c r="A16" s="65" t="n">
        <v>3</v>
      </c>
      <c r="B16" s="62" t="inlineStr">
        <is>
          <t>Hitung dampak action dari model</t>
        </is>
      </c>
      <c r="C16" s="52" t="inlineStr">
        <is>
          <t>Tinggi</t>
        </is>
      </c>
      <c r="D16" s="52" t="inlineStr">
        <is>
          <t>Susah</t>
        </is>
      </c>
      <c r="E16" s="62" t="inlineStr">
        <is>
          <t>Ganti impact string manual dengan kalkulasi forecast, unit validation, dan guard double-count.</t>
        </is>
      </c>
      <c r="F16" s="62" t="inlineStr">
        <is>
          <t>QC-004, 005, 016, 017, 019, 022</t>
        </is>
      </c>
      <c r="G16" s="62" t="inlineStr">
        <is>
          <t>Backend / agent logic</t>
        </is>
      </c>
      <c r="H16" s="53" t="n">
        <v>46238</v>
      </c>
      <c r="I16" s="51" t="n"/>
      <c r="J16" s="51" t="n"/>
    </row>
    <row r="17" ht="58" customHeight="1">
      <c r="A17" s="65" t="n">
        <v>4</v>
      </c>
      <c r="B17" s="62" t="inlineStr">
        <is>
          <t>Bersihkan history percakapan demo</t>
        </is>
      </c>
      <c r="C17" s="52" t="inlineStr">
        <is>
          <t>Tinggi</t>
        </is>
      </c>
      <c r="D17" s="52" t="inlineStr">
        <is>
          <t>Mudah</t>
        </is>
      </c>
      <c r="E17" s="62" t="inlineStr">
        <is>
          <t>Hapus data developer atau sembunyikan panel history pada environment demo.</t>
        </is>
      </c>
      <c r="F17" s="62" t="inlineStr">
        <is>
          <t>QC-006</t>
        </is>
      </c>
      <c r="G17" s="62" t="inlineStr">
        <is>
          <t>Pemilik demo</t>
        </is>
      </c>
      <c r="H17" s="53" t="n">
        <v>46233</v>
      </c>
      <c r="I17" s="51" t="n"/>
      <c r="J17" s="51" t="n"/>
    </row>
    <row r="18" ht="43.5" customHeight="1">
      <c r="A18" s="65" t="n">
        <v>5</v>
      </c>
      <c r="B18" s="62" t="inlineStr">
        <is>
          <t>Hapus teks illustrative/debug</t>
        </is>
      </c>
      <c r="C18" s="52" t="inlineStr">
        <is>
          <t>Tinggi</t>
        </is>
      </c>
      <c r="D18" s="52" t="inlineStr">
        <is>
          <t>Mudah</t>
        </is>
      </c>
      <c r="E18" s="62" t="inlineStr">
        <is>
          <t>Bersihkan debug note dari response model yang terlihat audiens.</t>
        </is>
      </c>
      <c r="F18" s="62" t="inlineStr">
        <is>
          <t>QC-039</t>
        </is>
      </c>
      <c r="G18" s="62" t="inlineStr">
        <is>
          <t>Backend</t>
        </is>
      </c>
      <c r="H18" s="53" t="n">
        <v>46234</v>
      </c>
      <c r="I18" s="51" t="n"/>
      <c r="J18" s="51" t="n"/>
    </row>
    <row r="19" ht="43.5" customHeight="1">
      <c r="A19" s="65" t="n">
        <v>6</v>
      </c>
      <c r="B19" s="62" t="inlineStr">
        <is>
          <t>Samakan definisi dan angka KPI</t>
        </is>
      </c>
      <c r="C19" s="52" t="inlineStr">
        <is>
          <t>Tinggi</t>
        </is>
      </c>
      <c r="D19" s="52" t="inlineStr">
        <is>
          <t>Sedang</t>
        </is>
      </c>
      <c r="E19" s="62" t="inlineStr">
        <is>
          <t>Tetapkan satu definisi untuk exposure, Top 5, target EBITDA, COGS, dan flag count.</t>
        </is>
      </c>
      <c r="F19" s="62" t="inlineStr">
        <is>
          <t>QC-007–011, 014–015</t>
        </is>
      </c>
      <c r="G19" s="62" t="inlineStr">
        <is>
          <t>Backend / agent logic</t>
        </is>
      </c>
      <c r="H19" s="53" t="n">
        <v>46238</v>
      </c>
      <c r="I19" s="51" t="n"/>
      <c r="J19" s="51" t="n"/>
    </row>
    <row r="20" ht="58" customHeight="1">
      <c r="A20" s="65" t="n">
        <v>7</v>
      </c>
      <c r="B20" s="62" t="inlineStr">
        <is>
          <t>Tuntaskan gap fitur panggung utama</t>
        </is>
      </c>
      <c r="C20" s="52" t="inlineStr">
        <is>
          <t>Tinggi</t>
        </is>
      </c>
      <c r="D20" s="52" t="inlineStr">
        <is>
          <t>Susah</t>
        </is>
      </c>
      <c r="E20" s="62" t="inlineStr">
        <is>
          <t>Prioritaskan formula explanation, guided story, reset baseline, dan Bahasa Indonesia sebelum fitur kosmetik.</t>
        </is>
      </c>
      <c r="F20" s="62" t="inlineStr">
        <is>
          <t>QC-049, 050, 058, 059</t>
        </is>
      </c>
      <c r="G20" s="62" t="inlineStr">
        <is>
          <t>Backend + frontend</t>
        </is>
      </c>
      <c r="H20" s="53" t="n">
        <v>46238</v>
      </c>
      <c r="I20" s="51" t="n"/>
      <c r="J20" s="51" t="n"/>
    </row>
    <row r="21" ht="43.5" customHeight="1">
      <c r="A21" s="65" t="n">
        <v>8</v>
      </c>
      <c r="B21" s="62" t="inlineStr">
        <is>
          <t>Selesaikan tes manual kritis</t>
        </is>
      </c>
      <c r="C21" s="52" t="inlineStr">
        <is>
          <t>Tinggi</t>
        </is>
      </c>
      <c r="D21" s="52" t="inlineStr">
        <is>
          <t>Sedang</t>
        </is>
      </c>
      <c r="E21" s="62" t="inlineStr">
        <is>
          <t>Perbaiki MT gagal/parsial, lalu jalankan seluruh checklist dua kali pada build final.</t>
        </is>
      </c>
      <c r="F21" s="62" t="inlineStr">
        <is>
          <t>QC-045; MT-001,002,010,014,015,018</t>
        </is>
      </c>
      <c r="G21" s="62" t="inlineStr">
        <is>
          <t>Pemilik demo + Tech</t>
        </is>
      </c>
      <c r="H21" s="53" t="n">
        <v>46245</v>
      </c>
      <c r="I21" s="51" t="n"/>
      <c r="J21" s="51" t="n"/>
    </row>
    <row r="22" ht="43.5" customHeight="1">
      <c r="A22" s="65" t="n">
        <v>9</v>
      </c>
      <c r="B22" s="62" t="inlineStr">
        <is>
          <t>Aktifkan perpindahan antar-agent</t>
        </is>
      </c>
      <c r="C22" s="52" t="inlineStr">
        <is>
          <t>Sedang</t>
        </is>
      </c>
      <c r="D22" s="52" t="inlineStr">
        <is>
          <t>Susah</t>
        </is>
      </c>
      <c r="E22" s="62" t="inlineStr">
        <is>
          <t>Hubungkan Collection–Treasury dan benahi serialisasi Decimal pada handoff chat.</t>
        </is>
      </c>
      <c r="F22" s="62" t="inlineStr">
        <is>
          <t>QC-047; MT-018</t>
        </is>
      </c>
      <c r="G22" s="62" t="inlineStr">
        <is>
          <t>Backend / agent logic</t>
        </is>
      </c>
      <c r="H22" s="53" t="n">
        <v>46242</v>
      </c>
      <c r="I22" s="51" t="n"/>
      <c r="J22" s="51" t="n"/>
    </row>
    <row r="23" ht="58" customHeight="1">
      <c r="A23" s="65" t="n">
        <v>10</v>
      </c>
      <c r="B23" s="62" t="inlineStr">
        <is>
          <t>Rapikan alert dan action duplikat</t>
        </is>
      </c>
      <c r="C23" s="52" t="inlineStr">
        <is>
          <t>Sedang</t>
        </is>
      </c>
      <c r="D23" s="52" t="inlineStr">
        <is>
          <t>Susah</t>
        </is>
      </c>
      <c r="E23" s="62" t="inlineStr">
        <is>
          <t>Tambahkan clustering/deduplication dan tampilkan delapan cerita unik, bukan 47 pengulangan.</t>
        </is>
      </c>
      <c r="F23" s="62" t="inlineStr">
        <is>
          <t>QC-021, QC-023</t>
        </is>
      </c>
      <c r="G23" s="62" t="inlineStr">
        <is>
          <t>Backend / agent logic</t>
        </is>
      </c>
      <c r="H23" s="53" t="n">
        <v>46240</v>
      </c>
      <c r="I23" s="51" t="n"/>
      <c r="J23" s="51" t="n"/>
    </row>
    <row r="24" ht="43.5" customHeight="1">
      <c r="A24" s="65" t="n">
        <v>11</v>
      </c>
      <c r="B24" s="62" t="inlineStr">
        <is>
          <t>Tambahkan periode dan driver grafik</t>
        </is>
      </c>
      <c r="C24" s="52" t="inlineStr">
        <is>
          <t>Sedang</t>
        </is>
      </c>
      <c r="D24" s="52" t="inlineStr">
        <is>
          <t>Sedang</t>
        </is>
      </c>
      <c r="E24" s="62" t="inlineStr">
        <is>
          <t>Masukkan period ke payload/label dan tambahkan driver untuk menjelaskan cash trough.</t>
        </is>
      </c>
      <c r="F24" s="62" t="inlineStr">
        <is>
          <t>QC-035, QC-037</t>
        </is>
      </c>
      <c r="G24" s="62" t="inlineStr">
        <is>
          <t>Frontend + backend</t>
        </is>
      </c>
      <c r="H24" s="53" t="n">
        <v>46245</v>
      </c>
      <c r="I24" s="51" t="n"/>
      <c r="J24" s="51" t="n"/>
    </row>
    <row r="25" ht="43.5" customHeight="1">
      <c r="A25" s="65" t="n">
        <v>12</v>
      </c>
      <c r="B25" s="62" t="inlineStr">
        <is>
          <t>Aktifkan filter entity/periode/kategori</t>
        </is>
      </c>
      <c r="C25" s="52" t="inlineStr">
        <is>
          <t>Sedang</t>
        </is>
      </c>
      <c r="D25" s="52" t="inlineStr">
        <is>
          <t>Susah</t>
        </is>
      </c>
      <c r="E25" s="62" t="inlineStr">
        <is>
          <t>Implementasikan dimensi filter end-to-end setelah shared dataset stabil.</t>
        </is>
      </c>
      <c r="F25" s="62" t="inlineStr">
        <is>
          <t>QC-043</t>
        </is>
      </c>
      <c r="G25" s="62" t="inlineStr">
        <is>
          <t>Full stack</t>
        </is>
      </c>
      <c r="H25" s="53" t="n">
        <v>46245</v>
      </c>
      <c r="I25" s="51" t="n"/>
      <c r="J25" s="51" t="n"/>
    </row>
    <row r="26" ht="43.5" customHeight="1">
      <c r="A26" s="65" t="n">
        <v>13</v>
      </c>
      <c r="B26" s="62" t="inlineStr">
        <is>
          <t>Hilangkan cold start dan latency</t>
        </is>
      </c>
      <c r="C26" s="52" t="inlineStr">
        <is>
          <t>Sedang</t>
        </is>
      </c>
      <c r="D26" s="52" t="inlineStr">
        <is>
          <t>Sedang</t>
        </is>
      </c>
      <c r="E26" s="62" t="inlineStr">
        <is>
          <t>Jaga instance siap, ukur response time, dan optimalkan loading sebelum gladi bersih.</t>
        </is>
      </c>
      <c r="F26" s="62" t="inlineStr">
        <is>
          <t>MT-023, MT-029, MT-030</t>
        </is>
      </c>
      <c r="G26" s="62" t="inlineStr">
        <is>
          <t>Infrastruktur</t>
        </is>
      </c>
      <c r="H26" s="53" t="n">
        <v>46245</v>
      </c>
      <c r="I26" s="51" t="n"/>
      <c r="J26" s="51" t="n"/>
    </row>
    <row r="27" ht="43.5" customHeight="1">
      <c r="A27" s="66" t="n">
        <v>14</v>
      </c>
      <c r="B27" s="64" t="inlineStr">
        <is>
          <t>Gladi bersih resolusi event</t>
        </is>
      </c>
      <c r="C27" s="54" t="inlineStr">
        <is>
          <t>Sedang</t>
        </is>
      </c>
      <c r="D27" s="54" t="inlineStr">
        <is>
          <t>Mudah</t>
        </is>
      </c>
      <c r="E27" s="64" t="inlineStr">
        <is>
          <t>Jalankan storyline empat menit dua kali setelah semua item Tinggi selesai.</t>
        </is>
      </c>
      <c r="F27" s="64" t="inlineStr">
        <is>
          <t>MT-031</t>
        </is>
      </c>
      <c r="G27" s="64" t="inlineStr">
        <is>
          <t>Pemilik demo</t>
        </is>
      </c>
      <c r="H27" s="55" t="n">
        <v>46247</v>
      </c>
      <c r="I27" s="51" t="n"/>
      <c r="J27" s="51" t="n"/>
    </row>
    <row r="28">
      <c r="A28" s="51" t="n"/>
      <c r="B28" s="51" t="n"/>
      <c r="C28" s="51" t="n"/>
      <c r="D28" s="51" t="n"/>
      <c r="E28" s="51" t="n"/>
      <c r="F28" s="51" t="n"/>
      <c r="G28" s="51" t="n"/>
      <c r="H28" s="51" t="n"/>
      <c r="I28" s="51" t="n"/>
      <c r="J28" s="51" t="n"/>
    </row>
    <row r="29">
      <c r="A29" s="51" t="n"/>
      <c r="B29" s="51" t="n"/>
      <c r="C29" s="51" t="n"/>
      <c r="D29" s="51" t="n"/>
      <c r="E29" s="51" t="n"/>
      <c r="F29" s="51" t="n"/>
      <c r="G29" s="51" t="n"/>
      <c r="H29" s="51" t="n"/>
      <c r="I29" s="51" t="n"/>
      <c r="J29" s="51" t="n"/>
    </row>
    <row r="30">
      <c r="A30" s="56" t="inlineStr">
        <is>
          <t>RINGKASAN PORTOFOLIO TEMUAN</t>
        </is>
      </c>
    </row>
    <row r="31" ht="29" customHeight="1">
      <c r="A31" s="57" t="inlineStr">
        <is>
          <t>Prioritas</t>
        </is>
      </c>
      <c r="B31" s="57" t="inlineStr">
        <is>
          <t>Jumlah</t>
        </is>
      </c>
      <c r="C31" s="51" t="n"/>
      <c r="D31" s="57" t="inlineStr">
        <is>
          <t>Kesulitan</t>
        </is>
      </c>
      <c r="E31" s="57" t="inlineStr">
        <is>
          <t>Jumlah</t>
        </is>
      </c>
      <c r="F31" s="51" t="n"/>
      <c r="G31" s="57" t="inlineStr">
        <is>
          <t>ATURAN KLASIFIKASI</t>
        </is>
      </c>
      <c r="H31" s="78" t="n"/>
      <c r="I31" s="78" t="n"/>
      <c r="J31" s="79" t="n"/>
    </row>
    <row r="32">
      <c r="A32" s="52" t="inlineStr">
        <is>
          <t>Tinggi</t>
        </is>
      </c>
      <c r="B32" s="52">
        <f>COUNTIF($I$40:$I$101,A32)</f>
        <v/>
      </c>
      <c r="C32" s="51" t="n"/>
      <c r="D32" s="52" t="inlineStr">
        <is>
          <t>Mudah</t>
        </is>
      </c>
      <c r="E32" s="52">
        <f>COUNTIF($J$40:$J$101,D32)</f>
        <v/>
      </c>
      <c r="F32" s="51" t="n"/>
      <c r="G32" s="62" t="inlineStr">
        <is>
          <t>Tinggi = blocker Critical/High yang terbuka. Sedang = blocker Medium atau High non-blocker. Rendah = sisanya. Kesulitan diestimasi dari cakupan data/arsitektur, dependency lintas komponen, dan jenis perubahan.</t>
        </is>
      </c>
      <c r="H32" s="80" t="n"/>
      <c r="I32" s="80" t="n"/>
      <c r="J32" s="81" t="n"/>
    </row>
    <row r="33">
      <c r="A33" s="52" t="inlineStr">
        <is>
          <t>Sedang</t>
        </is>
      </c>
      <c r="B33" s="52">
        <f>COUNTIF($I$40:$I$101,A33)</f>
        <v/>
      </c>
      <c r="C33" s="51" t="n"/>
      <c r="D33" s="52" t="inlineStr">
        <is>
          <t>Sedang</t>
        </is>
      </c>
      <c r="E33" s="52">
        <f>COUNTIF($J$40:$J$101,D33)</f>
        <v/>
      </c>
      <c r="F33" s="51" t="n"/>
      <c r="G33" s="82" t="n"/>
      <c r="J33" s="83" t="n"/>
    </row>
    <row r="34">
      <c r="A34" s="54" t="inlineStr">
        <is>
          <t>Rendah</t>
        </is>
      </c>
      <c r="B34" s="54">
        <f>COUNTIF($I$40:$I$101,A34)</f>
        <v/>
      </c>
      <c r="C34" s="51" t="n"/>
      <c r="D34" s="54" t="inlineStr">
        <is>
          <t>Susah</t>
        </is>
      </c>
      <c r="E34" s="54">
        <f>COUNTIF($J$40:$J$101,D34)</f>
        <v/>
      </c>
      <c r="F34" s="51" t="n"/>
      <c r="G34" s="84" t="n"/>
      <c r="H34" s="85" t="n"/>
      <c r="I34" s="85" t="n"/>
      <c r="J34" s="86" t="n"/>
    </row>
    <row r="35">
      <c r="A35" s="51" t="n"/>
      <c r="B35" s="51" t="n"/>
      <c r="C35" s="51" t="n"/>
      <c r="D35" s="51" t="n"/>
      <c r="E35" s="51" t="n"/>
      <c r="F35" s="51" t="n"/>
      <c r="G35" s="51" t="n"/>
      <c r="H35" s="51" t="n"/>
      <c r="I35" s="51" t="n"/>
      <c r="J35" s="51" t="n"/>
    </row>
    <row r="36">
      <c r="A36" s="51" t="n"/>
      <c r="B36" s="51" t="n"/>
      <c r="C36" s="51" t="n"/>
      <c r="D36" s="51" t="n"/>
      <c r="E36" s="51" t="n"/>
      <c r="F36" s="51" t="n"/>
      <c r="G36" s="51" t="n"/>
      <c r="H36" s="51" t="n"/>
      <c r="I36" s="51" t="n"/>
      <c r="J36" s="51" t="n"/>
    </row>
    <row r="37">
      <c r="A37" s="56" t="inlineStr">
        <is>
          <t>BACKLOG LENGKAP — 62 TEMUAN, DIURUTKAN BERDASARKAN PRIORITAS</t>
        </is>
      </c>
    </row>
    <row r="38">
      <c r="A38" s="51" t="n"/>
      <c r="B38" s="51" t="n"/>
      <c r="C38" s="51" t="n"/>
      <c r="D38" s="51" t="n"/>
      <c r="E38" s="51" t="n"/>
      <c r="F38" s="51" t="n"/>
      <c r="G38" s="51" t="n"/>
      <c r="H38" s="51" t="n"/>
      <c r="I38" s="51" t="n"/>
      <c r="J38" s="51" t="n"/>
    </row>
    <row r="39">
      <c r="A39" s="57" t="inlineStr">
        <is>
          <t>ID</t>
        </is>
      </c>
      <c r="B39" s="57" t="inlineStr">
        <is>
          <t>Agent</t>
        </is>
      </c>
      <c r="C39" s="57" t="inlineStr">
        <is>
          <t>Finding</t>
        </is>
      </c>
      <c r="D39" s="57" t="inlineStr">
        <is>
          <t>Severity</t>
        </is>
      </c>
      <c r="E39" s="57" t="inlineStr">
        <is>
          <t>Blocker</t>
        </is>
      </c>
      <c r="F39" s="57" t="inlineStr">
        <is>
          <t>Status</t>
        </is>
      </c>
      <c r="G39" s="57" t="inlineStr">
        <is>
          <t>Owner</t>
        </is>
      </c>
      <c r="H39" s="57" t="inlineStr">
        <is>
          <t>Target</t>
        </is>
      </c>
      <c r="I39" s="57" t="inlineStr">
        <is>
          <t>Prioritas</t>
        </is>
      </c>
      <c r="J39" s="57" t="inlineStr">
        <is>
          <t>Kesulitan</t>
        </is>
      </c>
      <c r="K39" s="74" t="inlineStr">
        <is>
          <t>Fix status 30 Jul 2026</t>
        </is>
      </c>
    </row>
    <row r="40" ht="29" customHeight="1">
      <c r="A40" s="62" t="inlineStr">
        <is>
          <t>QC-004</t>
        </is>
      </c>
      <c r="B40" s="62" t="inlineStr">
        <is>
          <t>Treasury</t>
        </is>
      </c>
      <c r="C40" s="62" t="inlineStr">
        <is>
          <t>Deferral action moves headroom the wrong way</t>
        </is>
      </c>
      <c r="D40" s="67" t="inlineStr">
        <is>
          <t>Critical</t>
        </is>
      </c>
      <c r="E40" s="67" t="inlineStr">
        <is>
          <t>Yes</t>
        </is>
      </c>
      <c r="F40" s="67" t="inlineStr">
        <is>
          <t>Open</t>
        </is>
      </c>
      <c r="G40" s="67" t="inlineStr">
        <is>
          <t>Backend / agent logic</t>
        </is>
      </c>
      <c r="H40" s="68" t="n">
        <v>46234</v>
      </c>
      <c r="I40" s="67" t="inlineStr">
        <is>
          <t>Tinggi</t>
        </is>
      </c>
      <c r="J40" s="67" t="inlineStr">
        <is>
          <t>Mudah</t>
        </is>
      </c>
    </row>
    <row r="41" ht="29" customHeight="1">
      <c r="A41" s="62" t="inlineStr">
        <is>
          <t>QC-006</t>
        </is>
      </c>
      <c r="B41" s="62" t="inlineStr">
        <is>
          <t>All</t>
        </is>
      </c>
      <c r="C41" s="62" t="inlineStr">
        <is>
          <t>Conversation history is full of developer test messages</t>
        </is>
      </c>
      <c r="D41" s="67" t="inlineStr">
        <is>
          <t>Critical</t>
        </is>
      </c>
      <c r="E41" s="67" t="inlineStr">
        <is>
          <t>Yes</t>
        </is>
      </c>
      <c r="F41" s="67" t="inlineStr">
        <is>
          <t>Open</t>
        </is>
      </c>
      <c r="G41" s="67" t="inlineStr">
        <is>
          <t>Demo owner</t>
        </is>
      </c>
      <c r="H41" s="68" t="n">
        <v>46234</v>
      </c>
      <c r="I41" s="67" t="inlineStr">
        <is>
          <t>Tinggi</t>
        </is>
      </c>
      <c r="J41" s="67" t="inlineStr">
        <is>
          <t>Mudah</t>
        </is>
      </c>
    </row>
    <row r="42" ht="29" customHeight="1">
      <c r="A42" s="62" t="inlineStr">
        <is>
          <t>QC-007</t>
        </is>
      </c>
      <c r="B42" s="62" t="inlineStr">
        <is>
          <t>Collection</t>
        </is>
      </c>
      <c r="C42" s="62" t="inlineStr">
        <is>
          <t>High-risk KPI and the risk tier chart disagree on the same screen</t>
        </is>
      </c>
      <c r="D42" s="67" t="inlineStr">
        <is>
          <t>High</t>
        </is>
      </c>
      <c r="E42" s="67" t="inlineStr">
        <is>
          <t>Yes</t>
        </is>
      </c>
      <c r="F42" s="87" t="inlineStr">
        <is>
          <t>Sudah diperbaiki - menunggu uji ulang</t>
        </is>
      </c>
      <c r="G42" s="67" t="inlineStr">
        <is>
          <t>Backend / agent logic</t>
        </is>
      </c>
      <c r="H42" s="68" t="n">
        <v>46238</v>
      </c>
      <c r="I42" s="67" t="inlineStr">
        <is>
          <t>Tinggi</t>
        </is>
      </c>
      <c r="J42" s="67" t="inlineStr">
        <is>
          <t>Mudah</t>
        </is>
      </c>
      <c r="K42" s="76" t="inlineStr">
        <is>
          <t>Fixed 30 Jul 2026 (commit 53daa2c). The card showed high_risk_provision (2,500) under a label reading 'exposure'. It now shows the High tier exposure (5,000), which equals the chart bar, with the provision moved to the caption.</t>
        </is>
      </c>
    </row>
    <row r="43" ht="29" customHeight="1">
      <c r="A43" s="62" t="inlineStr">
        <is>
          <t>QC-014</t>
        </is>
      </c>
      <c r="B43" s="62" t="inlineStr">
        <is>
          <t>Leakage</t>
        </is>
      </c>
      <c r="C43" s="62" t="inlineStr">
        <is>
          <t>Flag count on the KPI does not match the tables</t>
        </is>
      </c>
      <c r="D43" s="67" t="inlineStr">
        <is>
          <t>High</t>
        </is>
      </c>
      <c r="E43" s="67" t="inlineStr">
        <is>
          <t>Yes</t>
        </is>
      </c>
      <c r="F43" s="87" t="inlineStr">
        <is>
          <t>Sudah diperbaiki - menunggu uji ulang</t>
        </is>
      </c>
      <c r="G43" s="67" t="inlineStr">
        <is>
          <t>Backend / agent logic</t>
        </is>
      </c>
      <c r="H43" s="68" t="n">
        <v>46238</v>
      </c>
      <c r="I43" s="67" t="inlineStr">
        <is>
          <t>Tinggi</t>
        </is>
      </c>
      <c r="J43" s="67" t="inlineStr">
        <is>
          <t>Mudah</t>
        </is>
      </c>
      <c r="K43" s="76" t="inlineStr">
        <is>
          <t>Fixed 30 Jul 2026 (commit 53daa2c). The KPI now reads summary.items_flagged (10). The 22 came from len(anomalies), which is LIMIT 30 and includes rows that are not flagged.</t>
        </is>
      </c>
    </row>
    <row r="44" ht="29" customHeight="1">
      <c r="A44" s="62" t="inlineStr">
        <is>
          <t>QC-021</t>
        </is>
      </c>
      <c r="B44" s="62" t="inlineStr">
        <is>
          <t>All</t>
        </is>
      </c>
      <c r="C44" s="62" t="inlineStr">
        <is>
          <t>47 action cards with heavy duplication</t>
        </is>
      </c>
      <c r="D44" s="67" t="inlineStr">
        <is>
          <t>High</t>
        </is>
      </c>
      <c r="E44" s="67" t="inlineStr">
        <is>
          <t>Yes</t>
        </is>
      </c>
      <c r="F44" s="67" t="inlineStr">
        <is>
          <t>Open</t>
        </is>
      </c>
      <c r="G44" s="67" t="inlineStr">
        <is>
          <t>Backend / agent logic</t>
        </is>
      </c>
      <c r="H44" s="68" t="n">
        <v>46238</v>
      </c>
      <c r="I44" s="67" t="inlineStr">
        <is>
          <t>Tinggi</t>
        </is>
      </c>
      <c r="J44" s="67" t="inlineStr">
        <is>
          <t>Mudah</t>
        </is>
      </c>
    </row>
    <row r="45" ht="43.5" customHeight="1">
      <c r="A45" s="62" t="inlineStr">
        <is>
          <t>QC-005</t>
        </is>
      </c>
      <c r="B45" s="62" t="inlineStr">
        <is>
          <t>Treasury</t>
        </is>
      </c>
      <c r="C45" s="62" t="inlineStr">
        <is>
          <t>Action mixes headroom with closing cash in one before-and-after</t>
        </is>
      </c>
      <c r="D45" s="67" t="inlineStr">
        <is>
          <t>Critical</t>
        </is>
      </c>
      <c r="E45" s="67" t="inlineStr">
        <is>
          <t>Yes</t>
        </is>
      </c>
      <c r="F45" s="67" t="inlineStr">
        <is>
          <t>Open</t>
        </is>
      </c>
      <c r="G45" s="67" t="inlineStr">
        <is>
          <t>Backend / agent logic</t>
        </is>
      </c>
      <c r="H45" s="68" t="n">
        <v>46234</v>
      </c>
      <c r="I45" s="67" t="inlineStr">
        <is>
          <t>Tinggi</t>
        </is>
      </c>
      <c r="J45" s="67" t="inlineStr">
        <is>
          <t>Sedang</t>
        </is>
      </c>
    </row>
    <row r="46" ht="29" customHeight="1">
      <c r="A46" s="62" t="inlineStr">
        <is>
          <t>QC-008</t>
        </is>
      </c>
      <c r="B46" s="62" t="inlineStr">
        <is>
          <t>Collection</t>
        </is>
      </c>
      <c r="C46" s="63" t="inlineStr">
        <is>
          <t>Top 5' is defined three different ways inside one agent</t>
        </is>
      </c>
      <c r="D46" s="67" t="inlineStr">
        <is>
          <t>High</t>
        </is>
      </c>
      <c r="E46" s="67" t="inlineStr">
        <is>
          <t>Yes</t>
        </is>
      </c>
      <c r="F46" s="67" t="inlineStr">
        <is>
          <t>Open</t>
        </is>
      </c>
      <c r="G46" s="67" t="inlineStr">
        <is>
          <t>Backend / agent logic</t>
        </is>
      </c>
      <c r="H46" s="68" t="n">
        <v>46238</v>
      </c>
      <c r="I46" s="67" t="inlineStr">
        <is>
          <t>Tinggi</t>
        </is>
      </c>
      <c r="J46" s="67" t="inlineStr">
        <is>
          <t>Sedang</t>
        </is>
      </c>
    </row>
    <row r="47" ht="29" customHeight="1">
      <c r="A47" s="62" t="inlineStr">
        <is>
          <t>QC-009</t>
        </is>
      </c>
      <c r="B47" s="62" t="inlineStr">
        <is>
          <t>Finance</t>
        </is>
      </c>
      <c r="C47" s="62" t="inlineStr">
        <is>
          <t>Two different EBITDA margin targets are in use</t>
        </is>
      </c>
      <c r="D47" s="67" t="inlineStr">
        <is>
          <t>High</t>
        </is>
      </c>
      <c r="E47" s="67" t="inlineStr">
        <is>
          <t>Yes</t>
        </is>
      </c>
      <c r="F47" s="87" t="inlineStr">
        <is>
          <t>Sudah diperbaiki - menunggu uji ulang</t>
        </is>
      </c>
      <c r="G47" s="67" t="inlineStr">
        <is>
          <t>Backend / agent logic</t>
        </is>
      </c>
      <c r="H47" s="68" t="n">
        <v>46238</v>
      </c>
      <c r="I47" s="67" t="inlineStr">
        <is>
          <t>Tinggi</t>
        </is>
      </c>
      <c r="J47" s="67" t="inlineStr">
        <is>
          <t>Sedang</t>
        </is>
      </c>
      <c r="K47" s="76" t="inlineStr">
        <is>
          <t>Fixed 30 Jul 2026 (commit f448e66). The target now comes from the budget row (7,200 / 46,000 = 15.65%) and is threaded through the card caption, gauge label, simulator baseline and the recalculate endpoint. NOTE: formula check #18 expects 9.2/15 = 0.6133; with one target it becomes 9.2/15.65 = 0.586, so that check needs updating.</t>
        </is>
      </c>
    </row>
    <row r="48" ht="43.5" customHeight="1">
      <c r="A48" s="62" t="inlineStr">
        <is>
          <t>QC-010</t>
        </is>
      </c>
      <c r="B48" s="62" t="inlineStr">
        <is>
          <t>Finance</t>
        </is>
      </c>
      <c r="C48" s="62" t="inlineStr">
        <is>
          <t>Price variance is roughly ten times too small for the stated price decline</t>
        </is>
      </c>
      <c r="D48" s="67" t="inlineStr">
        <is>
          <t>High</t>
        </is>
      </c>
      <c r="E48" s="67" t="inlineStr">
        <is>
          <t>Yes</t>
        </is>
      </c>
      <c r="F48" s="67" t="inlineStr">
        <is>
          <t>Open</t>
        </is>
      </c>
      <c r="G48" s="67" t="inlineStr">
        <is>
          <t>Backend / agent logic</t>
        </is>
      </c>
      <c r="H48" s="68" t="n">
        <v>46238</v>
      </c>
      <c r="I48" s="67" t="inlineStr">
        <is>
          <t>Tinggi</t>
        </is>
      </c>
      <c r="J48" s="67" t="inlineStr">
        <is>
          <t>Sedang</t>
        </is>
      </c>
    </row>
    <row r="49" ht="29" customHeight="1">
      <c r="A49" s="62" t="inlineStr">
        <is>
          <t>QC-011</t>
        </is>
      </c>
      <c r="B49" s="62" t="inlineStr">
        <is>
          <t>Finance</t>
        </is>
      </c>
      <c r="C49" s="62" t="inlineStr">
        <is>
          <t>COGS variance is stated as two different numbers</t>
        </is>
      </c>
      <c r="D49" s="67" t="inlineStr">
        <is>
          <t>High</t>
        </is>
      </c>
      <c r="E49" s="67" t="inlineStr">
        <is>
          <t>Yes</t>
        </is>
      </c>
      <c r="F49" s="67" t="inlineStr">
        <is>
          <t>Open</t>
        </is>
      </c>
      <c r="G49" s="67" t="inlineStr">
        <is>
          <t>Backend / agent logic</t>
        </is>
      </c>
      <c r="H49" s="68" t="n">
        <v>46238</v>
      </c>
      <c r="I49" s="67" t="inlineStr">
        <is>
          <t>Tinggi</t>
        </is>
      </c>
      <c r="J49" s="67" t="inlineStr">
        <is>
          <t>Sedang</t>
        </is>
      </c>
    </row>
    <row r="50" ht="29" customHeight="1">
      <c r="A50" s="62" t="inlineStr">
        <is>
          <t>QC-015</t>
        </is>
      </c>
      <c r="B50" s="62" t="inlineStr">
        <is>
          <t>Leakage</t>
        </is>
      </c>
      <c r="C50" s="62" t="inlineStr">
        <is>
          <t>Split-invoice exposure sits in the chart but outside the total</t>
        </is>
      </c>
      <c r="D50" s="67" t="inlineStr">
        <is>
          <t>High</t>
        </is>
      </c>
      <c r="E50" s="67" t="inlineStr">
        <is>
          <t>Yes</t>
        </is>
      </c>
      <c r="F50" s="88" t="inlineStr">
        <is>
          <t>Sedang dikerjakan</t>
        </is>
      </c>
      <c r="G50" s="67" t="inlineStr">
        <is>
          <t>Backend / agent logic</t>
        </is>
      </c>
      <c r="H50" s="68" t="n">
        <v>46238</v>
      </c>
      <c r="I50" s="67" t="inlineStr">
        <is>
          <t>Tinggi</t>
        </is>
      </c>
      <c r="J50" s="67" t="inlineStr">
        <is>
          <t>Sedang</t>
        </is>
      </c>
      <c r="K50" s="76" t="inlineStr">
        <is>
          <t>Partly fixed 30 Jul 2026 (commit 53daa2c). The dashboard no longer contradicts itself: rows with is_direct_loss = false are out of the category bar and mix donut, so both sum to 7,845, and the 1,950 is named in the chart note. The alert wording has NOT been checked yet.</t>
        </is>
      </c>
    </row>
    <row r="51" ht="29" customHeight="1">
      <c r="A51" s="62" t="inlineStr">
        <is>
          <t>QC-016</t>
        </is>
      </c>
      <c r="B51" s="62" t="inlineStr">
        <is>
          <t>Collection</t>
        </is>
      </c>
      <c r="C51" s="62" t="inlineStr">
        <is>
          <t>Action impact does not match its own recommendation</t>
        </is>
      </c>
      <c r="D51" s="67" t="inlineStr">
        <is>
          <t>High</t>
        </is>
      </c>
      <c r="E51" s="67" t="inlineStr">
        <is>
          <t>Yes</t>
        </is>
      </c>
      <c r="F51" s="67" t="inlineStr">
        <is>
          <t>Open</t>
        </is>
      </c>
      <c r="G51" s="67" t="inlineStr">
        <is>
          <t>Backend / agent logic</t>
        </is>
      </c>
      <c r="H51" s="68" t="n">
        <v>46238</v>
      </c>
      <c r="I51" s="67" t="inlineStr">
        <is>
          <t>Tinggi</t>
        </is>
      </c>
      <c r="J51" s="67" t="inlineStr">
        <is>
          <t>Sedang</t>
        </is>
      </c>
    </row>
    <row r="52" ht="29" customHeight="1">
      <c r="A52" s="62" t="inlineStr">
        <is>
          <t>QC-017</t>
        </is>
      </c>
      <c r="B52" s="62" t="inlineStr">
        <is>
          <t>Treasury</t>
        </is>
      </c>
      <c r="C52" s="62" t="inlineStr">
        <is>
          <t>Combined action shows only part of its own effect</t>
        </is>
      </c>
      <c r="D52" s="67" t="inlineStr">
        <is>
          <t>High</t>
        </is>
      </c>
      <c r="E52" s="67" t="inlineStr">
        <is>
          <t>Yes</t>
        </is>
      </c>
      <c r="F52" s="67" t="inlineStr">
        <is>
          <t>Open</t>
        </is>
      </c>
      <c r="G52" s="67" t="inlineStr">
        <is>
          <t>Backend / agent logic</t>
        </is>
      </c>
      <c r="H52" s="68" t="n">
        <v>46238</v>
      </c>
      <c r="I52" s="67" t="inlineStr">
        <is>
          <t>Tinggi</t>
        </is>
      </c>
      <c r="J52" s="67" t="inlineStr">
        <is>
          <t>Sedang</t>
        </is>
      </c>
    </row>
    <row r="53" ht="29" customHeight="1">
      <c r="A53" s="62" t="inlineStr">
        <is>
          <t>QC-019</t>
        </is>
      </c>
      <c r="B53" s="62" t="inlineStr">
        <is>
          <t>Treasury</t>
        </is>
      </c>
      <c r="C53" s="62" t="inlineStr">
        <is>
          <t>Credit line action is anchored to the wrong week</t>
        </is>
      </c>
      <c r="D53" s="67" t="inlineStr">
        <is>
          <t>High</t>
        </is>
      </c>
      <c r="E53" s="67" t="inlineStr">
        <is>
          <t>Yes</t>
        </is>
      </c>
      <c r="F53" s="67" t="inlineStr">
        <is>
          <t>Open</t>
        </is>
      </c>
      <c r="G53" s="67" t="inlineStr">
        <is>
          <t>Backend / agent logic</t>
        </is>
      </c>
      <c r="H53" s="68" t="n">
        <v>46238</v>
      </c>
      <c r="I53" s="67" t="inlineStr">
        <is>
          <t>Tinggi</t>
        </is>
      </c>
      <c r="J53" s="67" t="inlineStr">
        <is>
          <t>Sedang</t>
        </is>
      </c>
    </row>
    <row r="54" ht="29" customHeight="1">
      <c r="A54" s="62" t="inlineStr">
        <is>
          <t>QC-022</t>
        </is>
      </c>
      <c r="B54" s="62" t="inlineStr">
        <is>
          <t>All</t>
        </is>
      </c>
      <c r="C54" s="62" t="inlineStr">
        <is>
          <t>Action impacts stack with no double-count guard</t>
        </is>
      </c>
      <c r="D54" s="67" t="inlineStr">
        <is>
          <t>High</t>
        </is>
      </c>
      <c r="E54" s="67" t="inlineStr">
        <is>
          <t>Yes</t>
        </is>
      </c>
      <c r="F54" s="67" t="inlineStr">
        <is>
          <t>Open</t>
        </is>
      </c>
      <c r="G54" s="67" t="inlineStr">
        <is>
          <t>Backend / agent logic</t>
        </is>
      </c>
      <c r="H54" s="68" t="n">
        <v>46238</v>
      </c>
      <c r="I54" s="67" t="inlineStr">
        <is>
          <t>Tinggi</t>
        </is>
      </c>
      <c r="J54" s="67" t="inlineStr">
        <is>
          <t>Sedang</t>
        </is>
      </c>
    </row>
    <row r="55" ht="29" customHeight="1">
      <c r="A55" s="62" t="inlineStr">
        <is>
          <t>QC-045</t>
        </is>
      </c>
      <c r="B55" s="62" t="inlineStr">
        <is>
          <t>All</t>
        </is>
      </c>
      <c r="C55" s="62" t="inlineStr">
        <is>
          <t>Interactive behaviour could not be verified remotely</t>
        </is>
      </c>
      <c r="D55" s="67" t="inlineStr">
        <is>
          <t>High</t>
        </is>
      </c>
      <c r="E55" s="67" t="inlineStr">
        <is>
          <t>Yes</t>
        </is>
      </c>
      <c r="F55" s="67" t="inlineStr">
        <is>
          <t>Open</t>
        </is>
      </c>
      <c r="G55" s="67" t="inlineStr">
        <is>
          <t>Demo owner</t>
        </is>
      </c>
      <c r="H55" s="68" t="n">
        <v>46238</v>
      </c>
      <c r="I55" s="67" t="inlineStr">
        <is>
          <t>Tinggi</t>
        </is>
      </c>
      <c r="J55" s="67" t="inlineStr">
        <is>
          <t>Sedang</t>
        </is>
      </c>
    </row>
    <row r="56" ht="29" customHeight="1">
      <c r="A56" s="62" t="inlineStr">
        <is>
          <t>QC-001</t>
        </is>
      </c>
      <c r="B56" s="62" t="inlineStr">
        <is>
          <t>Leakage</t>
        </is>
      </c>
      <c r="C56" s="62" t="inlineStr">
        <is>
          <t>Leakage category chart returns all zeros</t>
        </is>
      </c>
      <c r="D56" s="67" t="inlineStr">
        <is>
          <t>Critical</t>
        </is>
      </c>
      <c r="E56" s="67" t="inlineStr">
        <is>
          <t>Yes</t>
        </is>
      </c>
      <c r="F56" s="87" t="inlineStr">
        <is>
          <t>Sudah diperbaiki - menunggu uji ulang</t>
        </is>
      </c>
      <c r="G56" s="67" t="inlineStr">
        <is>
          <t>Backend / data</t>
        </is>
      </c>
      <c r="H56" s="68" t="n">
        <v>46234</v>
      </c>
      <c r="I56" s="67" t="inlineStr">
        <is>
          <t>Tinggi</t>
        </is>
      </c>
      <c r="J56" s="67" t="inlineStr">
        <is>
          <t>Susah</t>
        </is>
      </c>
      <c r="K56" s="76" t="inlineStr">
        <is>
          <t>Fixed 30 Jul 2026 (branch bug-fix-trial, commit 53daa2c). category_breakdowns.amount_at_risk_idr_mn was probed as amount_idr_mn, so _row_get returned None and every value became 0.0 with no error. Verified on live DB batch 17: bars 3,800 / 3,050 / 900 / 95 sum to 7,845 = the Flagged this cycle card.</t>
        </is>
      </c>
    </row>
    <row r="57" ht="29" customHeight="1">
      <c r="A57" s="62" t="inlineStr">
        <is>
          <t>QC-002</t>
        </is>
      </c>
      <c r="B57" s="62" t="inlineStr">
        <is>
          <t>All</t>
        </is>
      </c>
      <c r="C57" s="62" t="inlineStr">
        <is>
          <t>The four agents run on four unrelated data batches</t>
        </is>
      </c>
      <c r="D57" s="67" t="inlineStr">
        <is>
          <t>Critical</t>
        </is>
      </c>
      <c r="E57" s="67" t="inlineStr">
        <is>
          <t>Yes</t>
        </is>
      </c>
      <c r="F57" s="67" t="inlineStr">
        <is>
          <t>Open</t>
        </is>
      </c>
      <c r="G57" s="67" t="inlineStr">
        <is>
          <t>Backend / data</t>
        </is>
      </c>
      <c r="H57" s="68" t="n">
        <v>46234</v>
      </c>
      <c r="I57" s="67" t="inlineStr">
        <is>
          <t>Tinggi</t>
        </is>
      </c>
      <c r="J57" s="67" t="inlineStr">
        <is>
          <t>Susah</t>
        </is>
      </c>
    </row>
    <row r="58" ht="29" customHeight="1">
      <c r="A58" s="62" t="inlineStr">
        <is>
          <t>QC-003</t>
        </is>
      </c>
      <c r="B58" s="62" t="inlineStr">
        <is>
          <t>Finance + Collection</t>
        </is>
      </c>
      <c r="C58" s="62" t="inlineStr">
        <is>
          <t>Collection revenue base is about 15 times the Finance revenue</t>
        </is>
      </c>
      <c r="D58" s="67" t="inlineStr">
        <is>
          <t>Critical</t>
        </is>
      </c>
      <c r="E58" s="67" t="inlineStr">
        <is>
          <t>Yes</t>
        </is>
      </c>
      <c r="F58" s="67" t="inlineStr">
        <is>
          <t>Open</t>
        </is>
      </c>
      <c r="G58" s="67" t="inlineStr">
        <is>
          <t>Backend / data</t>
        </is>
      </c>
      <c r="H58" s="68" t="n">
        <v>46234</v>
      </c>
      <c r="I58" s="67" t="inlineStr">
        <is>
          <t>Tinggi</t>
        </is>
      </c>
      <c r="J58" s="67" t="inlineStr">
        <is>
          <t>Susah</t>
        </is>
      </c>
    </row>
    <row r="59" ht="29" customHeight="1">
      <c r="A59" s="62" t="inlineStr">
        <is>
          <t>QC-020</t>
        </is>
      </c>
      <c r="B59" s="62" t="inlineStr">
        <is>
          <t>All</t>
        </is>
      </c>
      <c r="C59" s="62" t="inlineStr">
        <is>
          <t>Agent keys are inconsistent between endpoints</t>
        </is>
      </c>
      <c r="D59" s="67" t="inlineStr">
        <is>
          <t>High</t>
        </is>
      </c>
      <c r="E59" s="67" t="inlineStr">
        <is>
          <t>Yes</t>
        </is>
      </c>
      <c r="F59" s="67" t="inlineStr">
        <is>
          <t>Open</t>
        </is>
      </c>
      <c r="G59" s="67" t="inlineStr">
        <is>
          <t>Backend</t>
        </is>
      </c>
      <c r="H59" s="68" t="n">
        <v>46238</v>
      </c>
      <c r="I59" s="67" t="inlineStr">
        <is>
          <t>Tinggi</t>
        </is>
      </c>
      <c r="J59" s="67" t="inlineStr">
        <is>
          <t>Susah</t>
        </is>
      </c>
    </row>
    <row r="60" ht="29" customHeight="1">
      <c r="A60" s="62" t="inlineStr">
        <is>
          <t>QC-024</t>
        </is>
      </c>
      <c r="B60" s="62" t="inlineStr">
        <is>
          <t>Leakage</t>
        </is>
      </c>
      <c r="C60" s="62" t="inlineStr">
        <is>
          <t>The Leakage agent opens on an empty chart</t>
        </is>
      </c>
      <c r="D60" s="67" t="inlineStr">
        <is>
          <t>High</t>
        </is>
      </c>
      <c r="E60" s="67" t="inlineStr">
        <is>
          <t>Yes</t>
        </is>
      </c>
      <c r="F60" s="87" t="inlineStr">
        <is>
          <t>Sudah diperbaiki - menunggu uji ulang</t>
        </is>
      </c>
      <c r="G60" s="67" t="inlineStr">
        <is>
          <t>Backend / data</t>
        </is>
      </c>
      <c r="H60" s="68" t="n">
        <v>46238</v>
      </c>
      <c r="I60" s="67" t="inlineStr">
        <is>
          <t>Tinggi</t>
        </is>
      </c>
      <c r="J60" s="67" t="inlineStr">
        <is>
          <t>Susah</t>
        </is>
      </c>
      <c r="K60" s="76" t="inlineStr">
        <is>
          <t>Fixed 30 Jul 2026 (commit 53daa2c). Same root cause as QC-001; the default view 'categories' now renders four bars on open.</t>
        </is>
      </c>
    </row>
    <row r="61" ht="29" customHeight="1">
      <c r="A61" s="62" t="inlineStr">
        <is>
          <t>QC-043</t>
        </is>
      </c>
      <c r="B61" s="62" t="inlineStr">
        <is>
          <t>All</t>
        </is>
      </c>
      <c r="C61" s="62" t="inlineStr">
        <is>
          <t>The app has no filters at all</t>
        </is>
      </c>
      <c r="D61" s="67" t="inlineStr">
        <is>
          <t>High</t>
        </is>
      </c>
      <c r="E61" s="67" t="inlineStr">
        <is>
          <t>Yes</t>
        </is>
      </c>
      <c r="F61" s="67" t="inlineStr">
        <is>
          <t>Open</t>
        </is>
      </c>
      <c r="G61" s="67" t="inlineStr">
        <is>
          <t>Backend + frontend</t>
        </is>
      </c>
      <c r="H61" s="68" t="n">
        <v>46238</v>
      </c>
      <c r="I61" s="67" t="inlineStr">
        <is>
          <t>Tinggi</t>
        </is>
      </c>
      <c r="J61" s="67" t="inlineStr">
        <is>
          <t>Susah</t>
        </is>
      </c>
    </row>
    <row r="62" ht="29" customHeight="1">
      <c r="A62" s="62" t="inlineStr">
        <is>
          <t>QC-044</t>
        </is>
      </c>
      <c r="B62" s="62" t="inlineStr">
        <is>
          <t>All</t>
        </is>
      </c>
      <c r="C62" s="62" t="inlineStr">
        <is>
          <t>Dataset is far below the volume the client asked for</t>
        </is>
      </c>
      <c r="D62" s="67" t="inlineStr">
        <is>
          <t>High</t>
        </is>
      </c>
      <c r="E62" s="67" t="inlineStr">
        <is>
          <t>Yes</t>
        </is>
      </c>
      <c r="F62" s="67" t="inlineStr">
        <is>
          <t>Open</t>
        </is>
      </c>
      <c r="G62" s="67" t="inlineStr">
        <is>
          <t>Backend / data</t>
        </is>
      </c>
      <c r="H62" s="68" t="n">
        <v>46238</v>
      </c>
      <c r="I62" s="67" t="inlineStr">
        <is>
          <t>Tinggi</t>
        </is>
      </c>
      <c r="J62" s="67" t="inlineStr">
        <is>
          <t>Susah</t>
        </is>
      </c>
    </row>
    <row r="63" ht="29" customHeight="1">
      <c r="A63" s="62" t="inlineStr">
        <is>
          <t>QC-047</t>
        </is>
      </c>
      <c r="B63" s="62" t="inlineStr">
        <is>
          <t>Collection + Treasury</t>
        </is>
      </c>
      <c r="C63" s="62" t="inlineStr">
        <is>
          <t>Treasury collection lever is not linked to the Collection book</t>
        </is>
      </c>
      <c r="D63" s="67" t="inlineStr">
        <is>
          <t>High</t>
        </is>
      </c>
      <c r="E63" s="67" t="inlineStr">
        <is>
          <t>Yes</t>
        </is>
      </c>
      <c r="F63" s="67" t="inlineStr">
        <is>
          <t>Open</t>
        </is>
      </c>
      <c r="G63" s="67" t="inlineStr">
        <is>
          <t>Backend / agent logic</t>
        </is>
      </c>
      <c r="H63" s="68" t="n">
        <v>46238</v>
      </c>
      <c r="I63" s="67" t="inlineStr">
        <is>
          <t>Tinggi</t>
        </is>
      </c>
      <c r="J63" s="67" t="inlineStr">
        <is>
          <t>Susah</t>
        </is>
      </c>
    </row>
    <row r="64" ht="29" customHeight="1">
      <c r="A64" s="62" t="inlineStr">
        <is>
          <t>QC-049</t>
        </is>
      </c>
      <c r="B64" s="62" t="inlineStr">
        <is>
          <t>All</t>
        </is>
      </c>
      <c r="C64" s="62" t="inlineStr">
        <is>
          <t>No formula explanation panel anywhere in the app</t>
        </is>
      </c>
      <c r="D64" s="67" t="inlineStr">
        <is>
          <t>Critical</t>
        </is>
      </c>
      <c r="E64" s="67" t="inlineStr">
        <is>
          <t>Yes</t>
        </is>
      </c>
      <c r="F64" s="67" t="inlineStr">
        <is>
          <t>Open</t>
        </is>
      </c>
      <c r="G64" s="67" t="inlineStr">
        <is>
          <t>Backend + frontend</t>
        </is>
      </c>
      <c r="H64" s="68" t="n">
        <v>46238</v>
      </c>
      <c r="I64" s="67" t="inlineStr">
        <is>
          <t>Tinggi</t>
        </is>
      </c>
      <c r="J64" s="67" t="inlineStr">
        <is>
          <t>Susah</t>
        </is>
      </c>
    </row>
    <row r="65">
      <c r="A65" s="62" t="inlineStr">
        <is>
          <t>QC-050</t>
        </is>
      </c>
      <c r="B65" s="62" t="inlineStr">
        <is>
          <t>All</t>
        </is>
      </c>
      <c r="C65" s="62" t="inlineStr">
        <is>
          <t>No guided story mode</t>
        </is>
      </c>
      <c r="D65" s="67" t="inlineStr">
        <is>
          <t>Critical</t>
        </is>
      </c>
      <c r="E65" s="67" t="inlineStr">
        <is>
          <t>Yes</t>
        </is>
      </c>
      <c r="F65" s="67" t="inlineStr">
        <is>
          <t>Open</t>
        </is>
      </c>
      <c r="G65" s="67" t="inlineStr">
        <is>
          <t>Frontend</t>
        </is>
      </c>
      <c r="H65" s="68" t="n">
        <v>46238</v>
      </c>
      <c r="I65" s="67" t="inlineStr">
        <is>
          <t>Tinggi</t>
        </is>
      </c>
      <c r="J65" s="67" t="inlineStr">
        <is>
          <t>Susah</t>
        </is>
      </c>
    </row>
    <row r="66" ht="29" customHeight="1">
      <c r="A66" s="62" t="inlineStr">
        <is>
          <t>QC-051</t>
        </is>
      </c>
      <c r="B66" s="62" t="inlineStr">
        <is>
          <t>All</t>
        </is>
      </c>
      <c r="C66" s="62" t="inlineStr">
        <is>
          <t>Simulator cannot save, load or compare a scenario</t>
        </is>
      </c>
      <c r="D66" s="67" t="inlineStr">
        <is>
          <t>High</t>
        </is>
      </c>
      <c r="E66" s="67" t="inlineStr">
        <is>
          <t>Yes</t>
        </is>
      </c>
      <c r="F66" s="67" t="inlineStr">
        <is>
          <t>Open</t>
        </is>
      </c>
      <c r="G66" s="67" t="inlineStr">
        <is>
          <t>Backend + frontend</t>
        </is>
      </c>
      <c r="H66" s="68" t="n">
        <v>46242</v>
      </c>
      <c r="I66" s="67" t="inlineStr">
        <is>
          <t>Tinggi</t>
        </is>
      </c>
      <c r="J66" s="67" t="inlineStr">
        <is>
          <t>Susah</t>
        </is>
      </c>
    </row>
    <row r="67" ht="29" customHeight="1">
      <c r="A67" s="62" t="inlineStr">
        <is>
          <t>QC-052</t>
        </is>
      </c>
      <c r="B67" s="62" t="inlineStr">
        <is>
          <t>All</t>
        </is>
      </c>
      <c r="C67" s="62" t="inlineStr">
        <is>
          <t>Simulator has no presets</t>
        </is>
      </c>
      <c r="D67" s="67" t="inlineStr">
        <is>
          <t>High</t>
        </is>
      </c>
      <c r="E67" s="67" t="inlineStr">
        <is>
          <t>Yes</t>
        </is>
      </c>
      <c r="F67" s="67" t="inlineStr">
        <is>
          <t>Open</t>
        </is>
      </c>
      <c r="G67" s="67" t="inlineStr">
        <is>
          <t>Backend + frontend</t>
        </is>
      </c>
      <c r="H67" s="68" t="n">
        <v>46242</v>
      </c>
      <c r="I67" s="67" t="inlineStr">
        <is>
          <t>Tinggi</t>
        </is>
      </c>
      <c r="J67" s="67" t="inlineStr">
        <is>
          <t>Susah</t>
        </is>
      </c>
    </row>
    <row r="68" ht="29" customHeight="1">
      <c r="A68" s="62" t="inlineStr">
        <is>
          <t>QC-054</t>
        </is>
      </c>
      <c r="B68" s="62" t="inlineStr">
        <is>
          <t>All</t>
        </is>
      </c>
      <c r="C68" s="62" t="inlineStr">
        <is>
          <t>KPI tiles have no trend sparkline</t>
        </is>
      </c>
      <c r="D68" s="67" t="inlineStr">
        <is>
          <t>High</t>
        </is>
      </c>
      <c r="E68" s="67" t="inlineStr">
        <is>
          <t>Yes</t>
        </is>
      </c>
      <c r="F68" s="67" t="inlineStr">
        <is>
          <t>Open</t>
        </is>
      </c>
      <c r="G68" s="67" t="inlineStr">
        <is>
          <t>Backend + frontend</t>
        </is>
      </c>
      <c r="H68" s="68" t="n">
        <v>46242</v>
      </c>
      <c r="I68" s="67" t="inlineStr">
        <is>
          <t>Tinggi</t>
        </is>
      </c>
      <c r="J68" s="67" t="inlineStr">
        <is>
          <t>Susah</t>
        </is>
      </c>
    </row>
    <row r="69">
      <c r="A69" s="62" t="inlineStr">
        <is>
          <t>QC-055</t>
        </is>
      </c>
      <c r="B69" s="62" t="inlineStr">
        <is>
          <t>All</t>
        </is>
      </c>
      <c r="C69" s="62" t="inlineStr">
        <is>
          <t>Actions carry no confidence level</t>
        </is>
      </c>
      <c r="D69" s="67" t="inlineStr">
        <is>
          <t>High</t>
        </is>
      </c>
      <c r="E69" s="67" t="inlineStr">
        <is>
          <t>Yes</t>
        </is>
      </c>
      <c r="F69" s="67" t="inlineStr">
        <is>
          <t>Open</t>
        </is>
      </c>
      <c r="G69" s="67" t="inlineStr">
        <is>
          <t>Backend</t>
        </is>
      </c>
      <c r="H69" s="68" t="n">
        <v>46242</v>
      </c>
      <c r="I69" s="67" t="inlineStr">
        <is>
          <t>Tinggi</t>
        </is>
      </c>
      <c r="J69" s="67" t="inlineStr">
        <is>
          <t>Susah</t>
        </is>
      </c>
    </row>
    <row r="70" ht="29" customHeight="1">
      <c r="A70" s="62" t="inlineStr">
        <is>
          <t>QC-056</t>
        </is>
      </c>
      <c r="B70" s="62" t="inlineStr">
        <is>
          <t>All</t>
        </is>
      </c>
      <c r="C70" s="62" t="inlineStr">
        <is>
          <t>No visible cascade when an action executes</t>
        </is>
      </c>
      <c r="D70" s="67" t="inlineStr">
        <is>
          <t>High</t>
        </is>
      </c>
      <c r="E70" s="67" t="inlineStr">
        <is>
          <t>Yes</t>
        </is>
      </c>
      <c r="F70" s="67" t="inlineStr">
        <is>
          <t>Open</t>
        </is>
      </c>
      <c r="G70" s="67" t="inlineStr">
        <is>
          <t>Frontend</t>
        </is>
      </c>
      <c r="H70" s="68" t="n">
        <v>46242</v>
      </c>
      <c r="I70" s="67" t="inlineStr">
        <is>
          <t>Tinggi</t>
        </is>
      </c>
      <c r="J70" s="67" t="inlineStr">
        <is>
          <t>Susah</t>
        </is>
      </c>
    </row>
    <row r="71" ht="29" customHeight="1">
      <c r="A71" s="62" t="inlineStr">
        <is>
          <t>QC-057</t>
        </is>
      </c>
      <c r="B71" s="62" t="inlineStr">
        <is>
          <t>All</t>
        </is>
      </c>
      <c r="C71" s="62" t="inlineStr">
        <is>
          <t>No status notification feed</t>
        </is>
      </c>
      <c r="D71" s="67" t="inlineStr">
        <is>
          <t>High</t>
        </is>
      </c>
      <c r="E71" s="67" t="inlineStr">
        <is>
          <t>Yes</t>
        </is>
      </c>
      <c r="F71" s="67" t="inlineStr">
        <is>
          <t>Open</t>
        </is>
      </c>
      <c r="G71" s="67" t="inlineStr">
        <is>
          <t>Backend + frontend</t>
        </is>
      </c>
      <c r="H71" s="68" t="n">
        <v>46245</v>
      </c>
      <c r="I71" s="67" t="inlineStr">
        <is>
          <t>Tinggi</t>
        </is>
      </c>
      <c r="J71" s="67" t="inlineStr">
        <is>
          <t>Susah</t>
        </is>
      </c>
    </row>
    <row r="72" ht="29" customHeight="1">
      <c r="A72" s="62" t="inlineStr">
        <is>
          <t>QC-058</t>
        </is>
      </c>
      <c r="B72" s="62" t="inlineStr">
        <is>
          <t>All</t>
        </is>
      </c>
      <c r="C72" s="62" t="inlineStr">
        <is>
          <t>No Bahasa Indonesia toggle</t>
        </is>
      </c>
      <c r="D72" s="67" t="inlineStr">
        <is>
          <t>High</t>
        </is>
      </c>
      <c r="E72" s="67" t="inlineStr">
        <is>
          <t>Yes</t>
        </is>
      </c>
      <c r="F72" s="67" t="inlineStr">
        <is>
          <t>Open</t>
        </is>
      </c>
      <c r="G72" s="67" t="inlineStr">
        <is>
          <t>Backend + frontend</t>
        </is>
      </c>
      <c r="H72" s="68" t="n">
        <v>46242</v>
      </c>
      <c r="I72" s="67" t="inlineStr">
        <is>
          <t>Tinggi</t>
        </is>
      </c>
      <c r="J72" s="67" t="inlineStr">
        <is>
          <t>Susah</t>
        </is>
      </c>
    </row>
    <row r="73" ht="29" customHeight="1">
      <c r="A73" s="62" t="inlineStr">
        <is>
          <t>QC-059</t>
        </is>
      </c>
      <c r="B73" s="62" t="inlineStr">
        <is>
          <t>All</t>
        </is>
      </c>
      <c r="C73" s="62" t="inlineStr">
        <is>
          <t>No reset to baseline</t>
        </is>
      </c>
      <c r="D73" s="67" t="inlineStr">
        <is>
          <t>High</t>
        </is>
      </c>
      <c r="E73" s="67" t="inlineStr">
        <is>
          <t>Yes</t>
        </is>
      </c>
      <c r="F73" s="67" t="inlineStr">
        <is>
          <t>Open</t>
        </is>
      </c>
      <c r="G73" s="67" t="inlineStr">
        <is>
          <t>Backend + frontend</t>
        </is>
      </c>
      <c r="H73" s="68" t="n">
        <v>46238</v>
      </c>
      <c r="I73" s="67" t="inlineStr">
        <is>
          <t>Tinggi</t>
        </is>
      </c>
      <c r="J73" s="67" t="inlineStr">
        <is>
          <t>Susah</t>
        </is>
      </c>
    </row>
    <row r="74" ht="29" customHeight="1">
      <c r="A74" s="62" t="inlineStr">
        <is>
          <t>QC-012</t>
        </is>
      </c>
      <c r="B74" s="62" t="inlineStr">
        <is>
          <t>Finance</t>
        </is>
      </c>
      <c r="C74" s="62" t="inlineStr">
        <is>
          <t>Two near-identical numbers mean two different things</t>
        </is>
      </c>
      <c r="D74" s="67" t="inlineStr">
        <is>
          <t>High</t>
        </is>
      </c>
      <c r="E74" s="67" t="inlineStr">
        <is>
          <t>No</t>
        </is>
      </c>
      <c r="F74" s="67" t="inlineStr">
        <is>
          <t>Open</t>
        </is>
      </c>
      <c r="G74" s="67" t="inlineStr">
        <is>
          <t>Demo owner</t>
        </is>
      </c>
      <c r="H74" s="68" t="n">
        <v>46238</v>
      </c>
      <c r="I74" s="67" t="inlineStr">
        <is>
          <t>Sedang</t>
        </is>
      </c>
      <c r="J74" s="67" t="inlineStr">
        <is>
          <t>Mudah</t>
        </is>
      </c>
    </row>
    <row r="75" ht="43.5" customHeight="1">
      <c r="A75" s="62" t="inlineStr">
        <is>
          <t>QC-018</t>
        </is>
      </c>
      <c r="B75" s="62" t="inlineStr">
        <is>
          <t>Collection</t>
        </is>
      </c>
      <c r="C75" s="62" t="inlineStr">
        <is>
          <t>Action labels the top-2 concentration as the overall overdue share</t>
        </is>
      </c>
      <c r="D75" s="67" t="inlineStr">
        <is>
          <t>High</t>
        </is>
      </c>
      <c r="E75" s="67" t="inlineStr">
        <is>
          <t>No</t>
        </is>
      </c>
      <c r="F75" s="67" t="inlineStr">
        <is>
          <t>Open</t>
        </is>
      </c>
      <c r="G75" s="67" t="inlineStr">
        <is>
          <t>Backend / agent logic</t>
        </is>
      </c>
      <c r="H75" s="68" t="n">
        <v>46238</v>
      </c>
      <c r="I75" s="67" t="inlineStr">
        <is>
          <t>Sedang</t>
        </is>
      </c>
      <c r="J75" s="67" t="inlineStr">
        <is>
          <t>Mudah</t>
        </is>
      </c>
    </row>
    <row r="76" ht="29" customHeight="1">
      <c r="A76" s="62" t="inlineStr">
        <is>
          <t>QC-025</t>
        </is>
      </c>
      <c r="B76" s="62" t="inlineStr">
        <is>
          <t>Treasury</t>
        </is>
      </c>
      <c r="C76" s="62" t="inlineStr">
        <is>
          <t>FX action states exposure falls to the hedge amount</t>
        </is>
      </c>
      <c r="D76" s="67" t="inlineStr">
        <is>
          <t>High</t>
        </is>
      </c>
      <c r="E76" s="67" t="inlineStr">
        <is>
          <t>No</t>
        </is>
      </c>
      <c r="F76" s="67" t="inlineStr">
        <is>
          <t>Open</t>
        </is>
      </c>
      <c r="G76" s="67" t="inlineStr">
        <is>
          <t>Backend / agent logic</t>
        </is>
      </c>
      <c r="H76" s="68" t="n">
        <v>46238</v>
      </c>
      <c r="I76" s="67" t="inlineStr">
        <is>
          <t>Sedang</t>
        </is>
      </c>
      <c r="J76" s="67" t="inlineStr">
        <is>
          <t>Mudah</t>
        </is>
      </c>
    </row>
    <row r="77" ht="29" customHeight="1">
      <c r="A77" s="62" t="inlineStr">
        <is>
          <t>QC-039</t>
        </is>
      </c>
      <c r="B77" s="62" t="inlineStr">
        <is>
          <t>All</t>
        </is>
      </c>
      <c r="C77" s="62" t="inlineStr">
        <is>
          <t>The word 'illustrative' is exposed in the payload</t>
        </is>
      </c>
      <c r="D77" s="67" t="inlineStr">
        <is>
          <t>Medium</t>
        </is>
      </c>
      <c r="E77" s="67" t="inlineStr">
        <is>
          <t>Yes</t>
        </is>
      </c>
      <c r="F77" s="87" t="inlineStr">
        <is>
          <t>Sudah diperbaiki - menunggu uji ulang</t>
        </is>
      </c>
      <c r="G77" s="67" t="inlineStr">
        <is>
          <t>Backend</t>
        </is>
      </c>
      <c r="H77" s="68" t="n">
        <v>46245</v>
      </c>
      <c r="I77" s="67" t="inlineStr">
        <is>
          <t>Sedang</t>
        </is>
      </c>
      <c r="J77" s="67" t="inlineStr">
        <is>
          <t>Mudah</t>
        </is>
      </c>
      <c r="K77" s="76" t="inlineStr">
        <is>
          <t>Fixed 30 Jul 2026 (commit f448e66). Removed the 'illustrative' flags, the db_kpis_count / db_profit_count / db_variance_count debug counters, and reworded the debug-flavoured notes. A test now fails if any of them come back.</t>
        </is>
      </c>
    </row>
    <row r="78" ht="29" customHeight="1">
      <c r="A78" s="62" t="inlineStr">
        <is>
          <t>QC-040</t>
        </is>
      </c>
      <c r="B78" s="62" t="inlineStr">
        <is>
          <t>Treasury</t>
        </is>
      </c>
      <c r="C78" s="62" t="inlineStr">
        <is>
          <t>It is unclear whether the customer delay is already in the forecast</t>
        </is>
      </c>
      <c r="D78" s="67" t="inlineStr">
        <is>
          <t>Medium</t>
        </is>
      </c>
      <c r="E78" s="67" t="inlineStr">
        <is>
          <t>Yes</t>
        </is>
      </c>
      <c r="F78" s="67" t="inlineStr">
        <is>
          <t>Open</t>
        </is>
      </c>
      <c r="G78" s="67" t="inlineStr">
        <is>
          <t>Backend / agent logic</t>
        </is>
      </c>
      <c r="H78" s="68" t="n">
        <v>46245</v>
      </c>
      <c r="I78" s="67" t="inlineStr">
        <is>
          <t>Sedang</t>
        </is>
      </c>
      <c r="J78" s="67" t="inlineStr">
        <is>
          <t>Mudah</t>
        </is>
      </c>
    </row>
    <row r="79" ht="29" customHeight="1">
      <c r="A79" s="62" t="inlineStr">
        <is>
          <t>QC-023</t>
        </is>
      </c>
      <c r="B79" s="62" t="inlineStr">
        <is>
          <t>All</t>
        </is>
      </c>
      <c r="C79" s="62" t="inlineStr">
        <is>
          <t>47 alerts telling roughly eight distinct stories</t>
        </is>
      </c>
      <c r="D79" s="67" t="inlineStr">
        <is>
          <t>High</t>
        </is>
      </c>
      <c r="E79" s="67" t="inlineStr">
        <is>
          <t>No</t>
        </is>
      </c>
      <c r="F79" s="67" t="inlineStr">
        <is>
          <t>Open</t>
        </is>
      </c>
      <c r="G79" s="67" t="inlineStr">
        <is>
          <t>Backend / agent logic</t>
        </is>
      </c>
      <c r="H79" s="68" t="n">
        <v>46238</v>
      </c>
      <c r="I79" s="67" t="inlineStr">
        <is>
          <t>Sedang</t>
        </is>
      </c>
      <c r="J79" s="67" t="inlineStr">
        <is>
          <t>Sedang</t>
        </is>
      </c>
    </row>
    <row r="80" ht="29" customHeight="1">
      <c r="A80" s="62" t="inlineStr">
        <is>
          <t>QC-042</t>
        </is>
      </c>
      <c r="B80" s="62" t="inlineStr">
        <is>
          <t>All</t>
        </is>
      </c>
      <c r="C80" s="62" t="inlineStr">
        <is>
          <t>Starter prompts do not show the strongest part of the story</t>
        </is>
      </c>
      <c r="D80" s="67" t="inlineStr">
        <is>
          <t>Medium</t>
        </is>
      </c>
      <c r="E80" s="67" t="inlineStr">
        <is>
          <t>Yes</t>
        </is>
      </c>
      <c r="F80" s="67" t="inlineStr">
        <is>
          <t>Open</t>
        </is>
      </c>
      <c r="G80" s="67" t="inlineStr">
        <is>
          <t>Demo owner</t>
        </is>
      </c>
      <c r="H80" s="68" t="n">
        <v>46245</v>
      </c>
      <c r="I80" s="67" t="inlineStr">
        <is>
          <t>Sedang</t>
        </is>
      </c>
      <c r="J80" s="67" t="inlineStr">
        <is>
          <t>Sedang</t>
        </is>
      </c>
    </row>
    <row r="81" ht="29" customHeight="1">
      <c r="A81" s="62" t="inlineStr">
        <is>
          <t>QC-035</t>
        </is>
      </c>
      <c r="B81" s="62" t="inlineStr">
        <is>
          <t>All</t>
        </is>
      </c>
      <c r="C81" s="62" t="inlineStr">
        <is>
          <t>No chart states its period</t>
        </is>
      </c>
      <c r="D81" s="67" t="inlineStr">
        <is>
          <t>Medium</t>
        </is>
      </c>
      <c r="E81" s="67" t="inlineStr">
        <is>
          <t>Yes</t>
        </is>
      </c>
      <c r="F81" s="67" t="inlineStr">
        <is>
          <t>Open</t>
        </is>
      </c>
      <c r="G81" s="67" t="inlineStr">
        <is>
          <t>Frontend + backend</t>
        </is>
      </c>
      <c r="H81" s="68" t="n">
        <v>46245</v>
      </c>
      <c r="I81" s="67" t="inlineStr">
        <is>
          <t>Sedang</t>
        </is>
      </c>
      <c r="J81" s="67" t="inlineStr">
        <is>
          <t>Susah</t>
        </is>
      </c>
    </row>
    <row r="82" ht="29" customHeight="1">
      <c r="A82" s="62" t="inlineStr">
        <is>
          <t>QC-037</t>
        </is>
      </c>
      <c r="B82" s="62" t="inlineStr">
        <is>
          <t>Treasury</t>
        </is>
      </c>
      <c r="C82" s="62" t="inlineStr">
        <is>
          <t>The cash chart cannot answer why Week 5 is low</t>
        </is>
      </c>
      <c r="D82" s="67" t="inlineStr">
        <is>
          <t>Medium</t>
        </is>
      </c>
      <c r="E82" s="67" t="inlineStr">
        <is>
          <t>Yes</t>
        </is>
      </c>
      <c r="F82" s="67" t="inlineStr">
        <is>
          <t>Open</t>
        </is>
      </c>
      <c r="G82" s="67" t="inlineStr">
        <is>
          <t>Backend + frontend</t>
        </is>
      </c>
      <c r="H82" s="68" t="n">
        <v>46245</v>
      </c>
      <c r="I82" s="67" t="inlineStr">
        <is>
          <t>Sedang</t>
        </is>
      </c>
      <c r="J82" s="67" t="inlineStr">
        <is>
          <t>Susah</t>
        </is>
      </c>
    </row>
    <row r="83" ht="29" customHeight="1">
      <c r="A83" s="62" t="inlineStr">
        <is>
          <t>QC-053</t>
        </is>
      </c>
      <c r="B83" s="62" t="inlineStr">
        <is>
          <t>All</t>
        </is>
      </c>
      <c r="C83" s="62" t="inlineStr">
        <is>
          <t>Simulator has no scope selector</t>
        </is>
      </c>
      <c r="D83" s="67" t="inlineStr">
        <is>
          <t>High</t>
        </is>
      </c>
      <c r="E83" s="67" t="inlineStr">
        <is>
          <t>No</t>
        </is>
      </c>
      <c r="F83" s="67" t="inlineStr">
        <is>
          <t>Open</t>
        </is>
      </c>
      <c r="G83" s="67" t="inlineStr">
        <is>
          <t>Backend + frontend</t>
        </is>
      </c>
      <c r="H83" s="68" t="n">
        <v>46245</v>
      </c>
      <c r="I83" s="67" t="inlineStr">
        <is>
          <t>Sedang</t>
        </is>
      </c>
      <c r="J83" s="67" t="inlineStr">
        <is>
          <t>Susah</t>
        </is>
      </c>
    </row>
    <row r="84" ht="43.5" customHeight="1">
      <c r="A84" s="62" t="inlineStr">
        <is>
          <t>QC-013</t>
        </is>
      </c>
      <c r="B84" s="62" t="inlineStr">
        <is>
          <t>Leakage</t>
        </is>
      </c>
      <c r="C84" s="62" t="inlineStr">
        <is>
          <t>The bar labelled 'Current 95%' does not show the current position</t>
        </is>
      </c>
      <c r="D84" s="67" t="inlineStr">
        <is>
          <t>Medium</t>
        </is>
      </c>
      <c r="E84" s="67" t="inlineStr">
        <is>
          <t>No</t>
        </is>
      </c>
      <c r="F84" s="87" t="inlineStr">
        <is>
          <t>Sudah diperbaiki - menunggu uji ulang</t>
        </is>
      </c>
      <c r="G84" s="67" t="inlineStr">
        <is>
          <t>Backend / agent logic</t>
        </is>
      </c>
      <c r="H84" s="68" t="n">
        <v>46245</v>
      </c>
      <c r="I84" s="67" t="inlineStr">
        <is>
          <t>Rendah</t>
        </is>
      </c>
      <c r="J84" s="67" t="inlineStr">
        <is>
          <t>Mudah</t>
        </is>
      </c>
      <c r="K84" s="76" t="inlineStr">
        <is>
          <t>Fixed 30 Jul 2026 (commit 53daa2c). The bar is now labelled 'Current 95/90%' and reuses the Total protected card value (7,557.5) instead of recomputing it at 95/95 (7,577.5).</t>
        </is>
      </c>
    </row>
    <row r="85" ht="43.5" customHeight="1">
      <c r="A85" s="62" t="inlineStr">
        <is>
          <t>QC-027</t>
        </is>
      </c>
      <c r="B85" s="62" t="inlineStr">
        <is>
          <t>Finance</t>
        </is>
      </c>
      <c r="C85" s="62" t="inlineStr">
        <is>
          <t>One margin percentage rounds down where others round normally</t>
        </is>
      </c>
      <c r="D85" s="67" t="inlineStr">
        <is>
          <t>Medium</t>
        </is>
      </c>
      <c r="E85" s="67" t="inlineStr">
        <is>
          <t>No</t>
        </is>
      </c>
      <c r="F85" s="87" t="inlineStr">
        <is>
          <t>Sudah diperbaiki - menunggu uji ulang</t>
        </is>
      </c>
      <c r="G85" s="67" t="inlineStr">
        <is>
          <t>Frontend</t>
        </is>
      </c>
      <c r="H85" s="68" t="n">
        <v>46245</v>
      </c>
      <c r="I85" s="67" t="inlineStr">
        <is>
          <t>Rendah</t>
        </is>
      </c>
      <c r="J85" s="67" t="inlineStr">
        <is>
          <t>Mudah</t>
        </is>
      </c>
      <c r="K85" s="76" t="inlineStr">
        <is>
          <t>Fixed 30 Jul 2026 (commit f448e66). Python and IEEE round half to even, so round(36.25, 1) is 36.2. Added _round_half_up and routed _fmt and _pct through it. Product GM% is now 23.8 / 36.3 / 16.7.</t>
        </is>
      </c>
    </row>
    <row r="86" ht="29" customHeight="1">
      <c r="A86" s="62" t="inlineStr">
        <is>
          <t>QC-029</t>
        </is>
      </c>
      <c r="B86" s="62" t="inlineStr">
        <is>
          <t>Treasury</t>
        </is>
      </c>
      <c r="C86" s="62" t="inlineStr">
        <is>
          <t>Inconsistent number formats in one KPI row</t>
        </is>
      </c>
      <c r="D86" s="67" t="inlineStr">
        <is>
          <t>Medium</t>
        </is>
      </c>
      <c r="E86" s="67" t="inlineStr">
        <is>
          <t>No</t>
        </is>
      </c>
      <c r="F86" s="87" t="inlineStr">
        <is>
          <t>Sudah diperbaiki - menunggu uji ulang</t>
        </is>
      </c>
      <c r="G86" s="67" t="inlineStr">
        <is>
          <t>Frontend</t>
        </is>
      </c>
      <c r="H86" s="68" t="n">
        <v>46245</v>
      </c>
      <c r="I86" s="67" t="inlineStr">
        <is>
          <t>Rendah</t>
        </is>
      </c>
      <c r="J86" s="67" t="inlineStr">
        <is>
          <t>Mudah</t>
        </is>
      </c>
      <c r="K86" s="76" t="inlineStr">
        <is>
          <t>Fixed 30 Jul 2026 (commit f448e66). One USD scale across the KPI row: 3.3 M USD beside 2.0 M USD, instead of 3.3 M USD beside 2,000,000 USD which hid that 2.0 is less than 3.3.</t>
        </is>
      </c>
    </row>
    <row r="87" ht="29" customHeight="1">
      <c r="A87" s="62" t="inlineStr">
        <is>
          <t>QC-030</t>
        </is>
      </c>
      <c r="B87" s="62" t="inlineStr">
        <is>
          <t>Collection</t>
        </is>
      </c>
      <c r="C87" s="62" t="inlineStr">
        <is>
          <t>Action labels a two-customer balance as total overdue AR</t>
        </is>
      </c>
      <c r="D87" s="67" t="inlineStr">
        <is>
          <t>Medium</t>
        </is>
      </c>
      <c r="E87" s="67" t="inlineStr">
        <is>
          <t>No</t>
        </is>
      </c>
      <c r="F87" s="67" t="inlineStr">
        <is>
          <t>Open</t>
        </is>
      </c>
      <c r="G87" s="67" t="inlineStr">
        <is>
          <t>Backend / agent logic</t>
        </is>
      </c>
      <c r="H87" s="68" t="n">
        <v>46245</v>
      </c>
      <c r="I87" s="67" t="inlineStr">
        <is>
          <t>Rendah</t>
        </is>
      </c>
      <c r="J87" s="67" t="inlineStr">
        <is>
          <t>Mudah</t>
        </is>
      </c>
    </row>
    <row r="88" ht="43.5" customHeight="1">
      <c r="A88" s="62" t="inlineStr">
        <is>
          <t>QC-031</t>
        </is>
      </c>
      <c r="B88" s="62" t="inlineStr">
        <is>
          <t>Leakage</t>
        </is>
      </c>
      <c r="C88" s="62" t="inlineStr">
        <is>
          <t>Action uses the annualised figure while the dashboard shows the cycle figure</t>
        </is>
      </c>
      <c r="D88" s="67" t="inlineStr">
        <is>
          <t>Medium</t>
        </is>
      </c>
      <c r="E88" s="67" t="inlineStr">
        <is>
          <t>No</t>
        </is>
      </c>
      <c r="F88" s="67" t="inlineStr">
        <is>
          <t>Open</t>
        </is>
      </c>
      <c r="G88" s="67" t="inlineStr">
        <is>
          <t>Backend / agent logic</t>
        </is>
      </c>
      <c r="H88" s="68" t="n">
        <v>46245</v>
      </c>
      <c r="I88" s="67" t="inlineStr">
        <is>
          <t>Rendah</t>
        </is>
      </c>
      <c r="J88" s="67" t="inlineStr">
        <is>
          <t>Mudah</t>
        </is>
      </c>
    </row>
    <row r="89" ht="29" customHeight="1">
      <c r="A89" s="62" t="inlineStr">
        <is>
          <t>QC-032</t>
        </is>
      </c>
      <c r="B89" s="62" t="inlineStr">
        <is>
          <t>Leakage</t>
        </is>
      </c>
      <c r="C89" s="62" t="inlineStr">
        <is>
          <t>The same 900 mn appears under three different names</t>
        </is>
      </c>
      <c r="D89" s="67" t="inlineStr">
        <is>
          <t>Medium</t>
        </is>
      </c>
      <c r="E89" s="67" t="inlineStr">
        <is>
          <t>No</t>
        </is>
      </c>
      <c r="F89" s="67" t="inlineStr">
        <is>
          <t>Open</t>
        </is>
      </c>
      <c r="G89" s="67" t="inlineStr">
        <is>
          <t>Backend / agent logic</t>
        </is>
      </c>
      <c r="H89" s="68" t="n">
        <v>46245</v>
      </c>
      <c r="I89" s="67" t="inlineStr">
        <is>
          <t>Rendah</t>
        </is>
      </c>
      <c r="J89" s="67" t="inlineStr">
        <is>
          <t>Mudah</t>
        </is>
      </c>
    </row>
    <row r="90" ht="29" customHeight="1">
      <c r="A90" s="62" t="inlineStr">
        <is>
          <t>QC-041</t>
        </is>
      </c>
      <c r="B90" s="62" t="inlineStr">
        <is>
          <t>Treasury</t>
        </is>
      </c>
      <c r="C90" s="62" t="inlineStr">
        <is>
          <t>Alert title names Week 5 but carries Week 6 data</t>
        </is>
      </c>
      <c r="D90" s="67" t="inlineStr">
        <is>
          <t>Medium</t>
        </is>
      </c>
      <c r="E90" s="67" t="inlineStr">
        <is>
          <t>No</t>
        </is>
      </c>
      <c r="F90" s="67" t="inlineStr">
        <is>
          <t>Open</t>
        </is>
      </c>
      <c r="G90" s="67" t="inlineStr">
        <is>
          <t>Backend / agent logic</t>
        </is>
      </c>
      <c r="H90" s="68" t="n">
        <v>46245</v>
      </c>
      <c r="I90" s="67" t="inlineStr">
        <is>
          <t>Rendah</t>
        </is>
      </c>
      <c r="J90" s="67" t="inlineStr">
        <is>
          <t>Mudah</t>
        </is>
      </c>
    </row>
    <row r="91" ht="29" customHeight="1">
      <c r="A91" s="62" t="inlineStr">
        <is>
          <t>QC-026</t>
        </is>
      </c>
      <c r="B91" s="62" t="inlineStr">
        <is>
          <t>Collection</t>
        </is>
      </c>
      <c r="C91" s="62" t="inlineStr">
        <is>
          <t>Recovery rate ignores how old the debt is</t>
        </is>
      </c>
      <c r="D91" s="67" t="inlineStr">
        <is>
          <t>Medium</t>
        </is>
      </c>
      <c r="E91" s="67" t="inlineStr">
        <is>
          <t>No</t>
        </is>
      </c>
      <c r="F91" s="67" t="inlineStr">
        <is>
          <t>Open</t>
        </is>
      </c>
      <c r="G91" s="67" t="inlineStr">
        <is>
          <t>Backend / agent logic</t>
        </is>
      </c>
      <c r="H91" s="68" t="n">
        <v>46245</v>
      </c>
      <c r="I91" s="67" t="inlineStr">
        <is>
          <t>Rendah</t>
        </is>
      </c>
      <c r="J91" s="67" t="inlineStr">
        <is>
          <t>Sedang</t>
        </is>
      </c>
    </row>
    <row r="92" ht="29" customHeight="1">
      <c r="A92" s="62" t="inlineStr">
        <is>
          <t>QC-028</t>
        </is>
      </c>
      <c r="B92" s="62" t="inlineStr">
        <is>
          <t>Collection</t>
        </is>
      </c>
      <c r="C92" s="62" t="inlineStr">
        <is>
          <t>DSO gauge shows 120% progress on a metric where lower is better</t>
        </is>
      </c>
      <c r="D92" s="67" t="inlineStr">
        <is>
          <t>Medium</t>
        </is>
      </c>
      <c r="E92" s="67" t="inlineStr">
        <is>
          <t>No</t>
        </is>
      </c>
      <c r="F92" s="87" t="inlineStr">
        <is>
          <t>Sudah diperbaiki - menunggu uji ulang</t>
        </is>
      </c>
      <c r="G92" s="67" t="inlineStr">
        <is>
          <t>Frontend</t>
        </is>
      </c>
      <c r="H92" s="68" t="n">
        <v>46245</v>
      </c>
      <c r="I92" s="67" t="inlineStr">
        <is>
          <t>Rendah</t>
        </is>
      </c>
      <c r="J92" s="67" t="inlineStr">
        <is>
          <t>Sedang</t>
        </is>
      </c>
      <c r="K92" s="76" t="inlineStr">
        <is>
          <t>Fixed 30 Jul 2026 (commit f448e66). Added a lower_is_better flag so enrichment inverts the ratio. DSO progress is now 0.8246 (47/57) instead of the clamped 1.2.</t>
        </is>
      </c>
    </row>
    <row r="93" ht="29" customHeight="1">
      <c r="A93" s="62" t="inlineStr">
        <is>
          <t>QC-034</t>
        </is>
      </c>
      <c r="B93" s="62" t="inlineStr">
        <is>
          <t>Treasury</t>
        </is>
      </c>
      <c r="C93" s="62" t="inlineStr">
        <is>
          <t>A zero bar next to a value bar reads as a rendering failure</t>
        </is>
      </c>
      <c r="D93" s="67" t="inlineStr">
        <is>
          <t>Medium</t>
        </is>
      </c>
      <c r="E93" s="67" t="inlineStr">
        <is>
          <t>No</t>
        </is>
      </c>
      <c r="F93" s="87" t="inlineStr">
        <is>
          <t>Sudah diperbaiki - menunggu uji ulang</t>
        </is>
      </c>
      <c r="G93" s="67" t="inlineStr">
        <is>
          <t>Frontend</t>
        </is>
      </c>
      <c r="H93" s="68" t="n">
        <v>46245</v>
      </c>
      <c r="I93" s="67" t="inlineStr">
        <is>
          <t>Rendah</t>
        </is>
      </c>
      <c r="J93" s="67" t="inlineStr">
        <is>
          <t>Sedang</t>
        </is>
      </c>
      <c r="K93" s="76" t="inlineStr">
        <is>
          <t>Fixed 30 Jul 2026 (commit f448e66). The zero 'Base' bar is gone. The chart now compares Do nothing 1,777.05 against Hedge 2.0M 700.05 - both non-zero, and the first equals the FX loss card.</t>
        </is>
      </c>
    </row>
    <row r="94" ht="29" customHeight="1">
      <c r="A94" s="62" t="inlineStr">
        <is>
          <t>QC-036</t>
        </is>
      </c>
      <c r="B94" s="62" t="inlineStr">
        <is>
          <t>Finance</t>
        </is>
      </c>
      <c r="C94" s="62" t="inlineStr">
        <is>
          <t>The side chart duplicates the main chart exactly</t>
        </is>
      </c>
      <c r="D94" s="67" t="inlineStr">
        <is>
          <t>Medium</t>
        </is>
      </c>
      <c r="E94" s="67" t="inlineStr">
        <is>
          <t>No</t>
        </is>
      </c>
      <c r="F94" s="87" t="inlineStr">
        <is>
          <t>Sudah diperbaiki - menunggu uji ulang</t>
        </is>
      </c>
      <c r="G94" s="67" t="inlineStr">
        <is>
          <t>Frontend</t>
        </is>
      </c>
      <c r="H94" s="68" t="n">
        <v>46245</v>
      </c>
      <c r="I94" s="67" t="inlineStr">
        <is>
          <t>Rendah</t>
        </is>
      </c>
      <c r="J94" s="67" t="inlineStr">
        <is>
          <t>Sedang</t>
        </is>
      </c>
      <c r="K94" s="76" t="inlineStr">
        <is>
          <t>Fixed 30 Jul 2026 (commit f448e66). Finance side:top was byte-identical to view:product. It now shows the gross margin pool in IDR (4,550 / 4,930 / 2,300 = 11,780) rather than repeating the rate.</t>
        </is>
      </c>
    </row>
    <row r="95" ht="43.5" customHeight="1">
      <c r="A95" s="62" t="inlineStr">
        <is>
          <t>QC-038</t>
        </is>
      </c>
      <c r="B95" s="62" t="inlineStr">
        <is>
          <t>Collection</t>
        </is>
      </c>
      <c r="C95" s="62" t="inlineStr">
        <is>
          <t>Worklist bucket column attributes a whole balance to the oldest bucket</t>
        </is>
      </c>
      <c r="D95" s="67" t="inlineStr">
        <is>
          <t>Low</t>
        </is>
      </c>
      <c r="E95" s="67" t="inlineStr">
        <is>
          <t>No</t>
        </is>
      </c>
      <c r="F95" s="67" t="inlineStr">
        <is>
          <t>Open</t>
        </is>
      </c>
      <c r="G95" s="67" t="inlineStr">
        <is>
          <t>Frontend</t>
        </is>
      </c>
      <c r="H95" s="68" t="n">
        <v>46252</v>
      </c>
      <c r="I95" s="67" t="inlineStr">
        <is>
          <t>Rendah</t>
        </is>
      </c>
      <c r="J95" s="67" t="inlineStr">
        <is>
          <t>Sedang</t>
        </is>
      </c>
    </row>
    <row r="96" ht="29" customHeight="1">
      <c r="A96" s="62" t="inlineStr">
        <is>
          <t>QC-046</t>
        </is>
      </c>
      <c r="B96" s="62" t="inlineStr">
        <is>
          <t>Leakage</t>
        </is>
      </c>
      <c r="C96" s="62" t="inlineStr">
        <is>
          <t>Vendor risk score ignores amount and severity</t>
        </is>
      </c>
      <c r="D96" s="67" t="inlineStr">
        <is>
          <t>Medium</t>
        </is>
      </c>
      <c r="E96" s="67" t="inlineStr">
        <is>
          <t>No</t>
        </is>
      </c>
      <c r="F96" s="87" t="inlineStr">
        <is>
          <t>Sudah diperbaiki - menunggu uji ulang</t>
        </is>
      </c>
      <c r="G96" s="67" t="inlineStr">
        <is>
          <t>Backend / agent logic</t>
        </is>
      </c>
      <c r="H96" s="68" t="n">
        <v>46245</v>
      </c>
      <c r="I96" s="67" t="inlineStr">
        <is>
          <t>Rendah</t>
        </is>
      </c>
      <c r="J96" s="67" t="inlineStr">
        <is>
          <t>Sedang</t>
        </is>
      </c>
      <c r="K96" s="76" t="inlineStr">
        <is>
          <t>Fixed 30 Jul 2026 (commit f448e66). Score = 50% at-risk amount + 35% worst severity + 15% flag count, relative to the worst vendor in the batch. Live batch 17: Osaka 100, Shenzhen 64, Bahan Baku 56, Taipei 33.</t>
        </is>
      </c>
    </row>
    <row r="97" ht="43.5" customHeight="1">
      <c r="A97" s="62" t="inlineStr">
        <is>
          <t>QC-033</t>
        </is>
      </c>
      <c r="B97" s="62" t="inlineStr">
        <is>
          <t>Collection</t>
        </is>
      </c>
      <c r="C97" s="62" t="inlineStr">
        <is>
          <t>Two charts on the same screen order the same pair in opposite directions</t>
        </is>
      </c>
      <c r="D97" s="67" t="inlineStr">
        <is>
          <t>Medium</t>
        </is>
      </c>
      <c r="E97" s="67" t="inlineStr">
        <is>
          <t>No</t>
        </is>
      </c>
      <c r="F97" s="87" t="inlineStr">
        <is>
          <t>Sudah diperbaiki - menunggu uji ulang</t>
        </is>
      </c>
      <c r="G97" s="67" t="inlineStr">
        <is>
          <t>Frontend</t>
        </is>
      </c>
      <c r="H97" s="68" t="n">
        <v>46245</v>
      </c>
      <c r="I97" s="67" t="inlineStr">
        <is>
          <t>Rendah</t>
        </is>
      </c>
      <c r="J97" s="67" t="inlineStr">
        <is>
          <t>Susah</t>
        </is>
      </c>
      <c r="K97" s="76" t="inlineStr">
        <is>
          <t>Fixed 30 Jul 2026 (commit f448e66). Both charts now order [Now, Target]. Aligning them turned the pair into exact duplicates, so side:bottom was changed to Overdue vs expected recovery.</t>
        </is>
      </c>
    </row>
    <row r="98" ht="29" customHeight="1">
      <c r="A98" s="62" t="inlineStr">
        <is>
          <t>QC-048</t>
        </is>
      </c>
      <c r="B98" s="62" t="inlineStr">
        <is>
          <t>All</t>
        </is>
      </c>
      <c r="C98" s="62" t="inlineStr">
        <is>
          <t>The mockup and the deployed app disagree on the numbers</t>
        </is>
      </c>
      <c r="D98" s="67" t="inlineStr">
        <is>
          <t>Medium</t>
        </is>
      </c>
      <c r="E98" s="67" t="inlineStr">
        <is>
          <t>No</t>
        </is>
      </c>
      <c r="F98" s="67" t="inlineStr">
        <is>
          <t>Open</t>
        </is>
      </c>
      <c r="G98" s="67" t="inlineStr">
        <is>
          <t>Demo owner + Backend</t>
        </is>
      </c>
      <c r="H98" s="68" t="n">
        <v>46245</v>
      </c>
      <c r="I98" s="67" t="inlineStr">
        <is>
          <t>Rendah</t>
        </is>
      </c>
      <c r="J98" s="67" t="inlineStr">
        <is>
          <t>Susah</t>
        </is>
      </c>
    </row>
    <row r="99" ht="29" customHeight="1">
      <c r="A99" s="62" t="inlineStr">
        <is>
          <t>QC-060</t>
        </is>
      </c>
      <c r="B99" s="62" t="inlineStr">
        <is>
          <t>All</t>
        </is>
      </c>
      <c r="C99" s="62" t="inlineStr">
        <is>
          <t>No exact-parameter calculation flow</t>
        </is>
      </c>
      <c r="D99" s="67" t="inlineStr">
        <is>
          <t>Medium</t>
        </is>
      </c>
      <c r="E99" s="67" t="inlineStr">
        <is>
          <t>No</t>
        </is>
      </c>
      <c r="F99" s="67" t="inlineStr">
        <is>
          <t>Open</t>
        </is>
      </c>
      <c r="G99" s="67" t="inlineStr">
        <is>
          <t>Backend + frontend</t>
        </is>
      </c>
      <c r="H99" s="68" t="n">
        <v>46245</v>
      </c>
      <c r="I99" s="67" t="inlineStr">
        <is>
          <t>Rendah</t>
        </is>
      </c>
      <c r="J99" s="67" t="inlineStr">
        <is>
          <t>Susah</t>
        </is>
      </c>
    </row>
    <row r="100" ht="29" customHeight="1">
      <c r="A100" s="62" t="inlineStr">
        <is>
          <t>QC-061</t>
        </is>
      </c>
      <c r="B100" s="62" t="inlineStr">
        <is>
          <t>All</t>
        </is>
      </c>
      <c r="C100" s="62" t="inlineStr">
        <is>
          <t>Next best action cards are not on the dashboard</t>
        </is>
      </c>
      <c r="D100" s="67" t="inlineStr">
        <is>
          <t>Medium</t>
        </is>
      </c>
      <c r="E100" s="67" t="inlineStr">
        <is>
          <t>No</t>
        </is>
      </c>
      <c r="F100" s="67" t="inlineStr">
        <is>
          <t>Open</t>
        </is>
      </c>
      <c r="G100" s="67" t="inlineStr">
        <is>
          <t>Frontend</t>
        </is>
      </c>
      <c r="H100" s="68" t="n">
        <v>46245</v>
      </c>
      <c r="I100" s="67" t="inlineStr">
        <is>
          <t>Rendah</t>
        </is>
      </c>
      <c r="J100" s="67" t="inlineStr">
        <is>
          <t>Susah</t>
        </is>
      </c>
    </row>
    <row r="101" ht="29" customHeight="1">
      <c r="A101" s="64" t="inlineStr">
        <is>
          <t>QC-062</t>
        </is>
      </c>
      <c r="B101" s="64" t="inlineStr">
        <is>
          <t>All</t>
        </is>
      </c>
      <c r="C101" s="64" t="inlineStr">
        <is>
          <t>Chat cannot be verified to render charts and tables</t>
        </is>
      </c>
      <c r="D101" s="69" t="inlineStr">
        <is>
          <t>Medium</t>
        </is>
      </c>
      <c r="E101" s="69" t="inlineStr">
        <is>
          <t>No</t>
        </is>
      </c>
      <c r="F101" s="69" t="inlineStr">
        <is>
          <t>Open</t>
        </is>
      </c>
      <c r="G101" s="69" t="inlineStr">
        <is>
          <t>Demo owner</t>
        </is>
      </c>
      <c r="H101" s="70" t="n">
        <v>46238</v>
      </c>
      <c r="I101" s="69" t="inlineStr">
        <is>
          <t>Rendah</t>
        </is>
      </c>
      <c r="J101" s="69" t="inlineStr">
        <is>
          <t>Susah</t>
        </is>
      </c>
    </row>
    <row r="102">
      <c r="A102" s="51" t="n"/>
      <c r="B102" s="51" t="n"/>
      <c r="C102" s="51" t="n"/>
      <c r="D102" s="51" t="n"/>
      <c r="E102" s="51" t="n"/>
      <c r="F102" s="51" t="n"/>
      <c r="G102" s="51" t="n"/>
      <c r="H102" s="51" t="n"/>
      <c r="I102" s="51" t="n"/>
      <c r="J102" s="51" t="n"/>
    </row>
    <row r="103">
      <c r="A103" s="51" t="n"/>
      <c r="B103" s="51" t="n"/>
      <c r="C103" s="51" t="n"/>
      <c r="D103" s="51" t="n"/>
      <c r="E103" s="51" t="n"/>
      <c r="F103" s="51" t="n"/>
      <c r="G103" s="51" t="n"/>
      <c r="H103" s="51" t="n"/>
      <c r="I103" s="51" t="n"/>
      <c r="J103" s="51" t="n"/>
    </row>
    <row r="104">
      <c r="A104" s="56" t="inlineStr">
        <is>
          <t>UJI MANUAL YANG BELUM LULUS / BELUM SELESAI</t>
        </is>
      </c>
    </row>
    <row r="105">
      <c r="A105" s="51" t="n"/>
      <c r="B105" s="51" t="n"/>
      <c r="C105" s="51" t="n"/>
      <c r="D105" s="51" t="n"/>
      <c r="E105" s="51" t="n"/>
      <c r="F105" s="51" t="n"/>
      <c r="G105" s="51" t="n"/>
      <c r="H105" s="51" t="n"/>
      <c r="I105" s="51" t="n"/>
      <c r="J105" s="51" t="n"/>
    </row>
    <row r="106">
      <c r="A106" s="57" t="inlineStr">
        <is>
          <t>ID</t>
        </is>
      </c>
      <c r="B106" s="57" t="inlineStr">
        <is>
          <t>Area</t>
        </is>
      </c>
      <c r="C106" s="57" t="inlineStr">
        <is>
          <t>Agent</t>
        </is>
      </c>
      <c r="D106" s="57" t="inlineStr">
        <is>
          <t>Pengujian</t>
        </is>
      </c>
      <c r="E106" s="57" t="inlineStr">
        <is>
          <t>Prioritas test</t>
        </is>
      </c>
      <c r="F106" s="57" t="inlineStr">
        <is>
          <t>Hasil</t>
        </is>
      </c>
      <c r="G106" s="57" t="inlineStr">
        <is>
          <t>Defect ID</t>
        </is>
      </c>
      <c r="H106" s="57" t="inlineStr">
        <is>
          <t>Catatan</t>
        </is>
      </c>
      <c r="I106" s="57" t="inlineStr">
        <is>
          <t>Prioritas</t>
        </is>
      </c>
      <c r="J106" s="57" t="inlineStr">
        <is>
          <t>Kesulitan</t>
        </is>
      </c>
    </row>
    <row r="107" ht="87" customHeight="1">
      <c r="A107" s="62" t="inlineStr">
        <is>
          <t>MT-001</t>
        </is>
      </c>
      <c r="B107" s="62" t="inlineStr">
        <is>
          <t>Navigasi</t>
        </is>
      </c>
      <c r="C107" s="62" t="inlineStr">
        <is>
          <t>Semua</t>
        </is>
      </c>
      <c r="D107" s="62" t="inlineStr">
        <is>
          <t>Pemilih agent</t>
        </is>
      </c>
      <c r="E107" s="62" t="inlineStr">
        <is>
          <t>Kritis</t>
        </is>
      </c>
      <c r="F107" s="62" t="inlineStr">
        <is>
          <t>Sebagian</t>
        </is>
      </c>
      <c r="G107" s="62" t="n"/>
      <c r="H107" s="62" t="inlineStr">
        <is>
          <t>Masih ada grafik yang kosong &gt;&gt; terutama dipart Leakage</t>
        </is>
      </c>
      <c r="I107" s="62" t="inlineStr">
        <is>
          <t>Tinggi</t>
        </is>
      </c>
      <c r="J107" s="62" t="inlineStr">
        <is>
          <t>Mudah</t>
        </is>
      </c>
    </row>
    <row r="108" ht="87" customHeight="1">
      <c r="A108" s="62" t="inlineStr">
        <is>
          <t>MT-002</t>
        </is>
      </c>
      <c r="B108" s="62" t="inlineStr">
        <is>
          <t>Navigasi</t>
        </is>
      </c>
      <c r="C108" s="62" t="inlineStr">
        <is>
          <t>Semua</t>
        </is>
      </c>
      <c r="D108" s="62" t="inlineStr">
        <is>
          <t>Tab tampilan</t>
        </is>
      </c>
      <c r="E108" s="62" t="inlineStr">
        <is>
          <t>Kritis</t>
        </is>
      </c>
      <c r="F108" s="62" t="inlineStr">
        <is>
          <t>Sebagian</t>
        </is>
      </c>
      <c r="G108" s="62" t="n"/>
      <c r="H108" s="62" t="inlineStr">
        <is>
          <t>Masih ada grafik yang kosong &gt;&gt; terutama dipart Leakage</t>
        </is>
      </c>
      <c r="I108" s="62" t="inlineStr">
        <is>
          <t>Tinggi</t>
        </is>
      </c>
      <c r="J108" s="62" t="inlineStr">
        <is>
          <t>Mudah</t>
        </is>
      </c>
    </row>
    <row r="109">
      <c r="A109" s="62" t="inlineStr">
        <is>
          <t>MT-004</t>
        </is>
      </c>
      <c r="B109" s="62" t="inlineStr">
        <is>
          <t>Tombol</t>
        </is>
      </c>
      <c r="C109" s="62" t="inlineStr">
        <is>
          <t>Semua</t>
        </is>
      </c>
      <c r="D109" s="62" t="inlineStr">
        <is>
          <t>Klik KPI tile</t>
        </is>
      </c>
      <c r="E109" s="62" t="inlineStr">
        <is>
          <t>Tinggi</t>
        </is>
      </c>
      <c r="F109" s="62" t="inlineStr">
        <is>
          <t>Belum diuji</t>
        </is>
      </c>
      <c r="G109" s="62" t="n"/>
      <c r="H109" s="62" t="n"/>
      <c r="I109" s="62" t="inlineStr">
        <is>
          <t>Sedang</t>
        </is>
      </c>
      <c r="J109" s="62" t="inlineStr">
        <is>
          <t>Mudah</t>
        </is>
      </c>
    </row>
    <row r="110" ht="29" customHeight="1">
      <c r="A110" s="62" t="inlineStr">
        <is>
          <t>MT-005</t>
        </is>
      </c>
      <c r="B110" s="62" t="inlineStr">
        <is>
          <t>Tombol</t>
        </is>
      </c>
      <c r="C110" s="62" t="inlineStr">
        <is>
          <t>Semua</t>
        </is>
      </c>
      <c r="D110" s="62" t="inlineStr">
        <is>
          <t>Jelaskan KPI ini</t>
        </is>
      </c>
      <c r="E110" s="62" t="inlineStr">
        <is>
          <t>Tinggi</t>
        </is>
      </c>
      <c r="F110" s="62" t="inlineStr">
        <is>
          <t>Belum diuji</t>
        </is>
      </c>
      <c r="G110" s="62" t="n"/>
      <c r="H110" s="62" t="n"/>
      <c r="I110" s="62" t="inlineStr">
        <is>
          <t>Sedang</t>
        </is>
      </c>
      <c r="J110" s="62" t="inlineStr">
        <is>
          <t>Mudah</t>
        </is>
      </c>
    </row>
    <row r="111" ht="29" customHeight="1">
      <c r="A111" s="62" t="inlineStr">
        <is>
          <t>MT-010</t>
        </is>
      </c>
      <c r="B111" s="62" t="inlineStr">
        <is>
          <t>Simulator</t>
        </is>
      </c>
      <c r="C111" s="62" t="inlineStr">
        <is>
          <t>Collection</t>
        </is>
      </c>
      <c r="D111" s="62" t="inlineStr">
        <is>
          <t>Batas maksimum</t>
        </is>
      </c>
      <c r="E111" s="62" t="inlineStr">
        <is>
          <t>Tinggi</t>
        </is>
      </c>
      <c r="F111" s="62" t="inlineStr">
        <is>
          <t>Gagal</t>
        </is>
      </c>
      <c r="G111" s="62" t="n"/>
      <c r="H111" s="62" t="inlineStr">
        <is>
          <t>Saya cek DSO ke 53.5</t>
        </is>
      </c>
      <c r="I111" s="62" t="inlineStr">
        <is>
          <t>Tinggi</t>
        </is>
      </c>
      <c r="J111" s="62" t="inlineStr">
        <is>
          <t>Mudah</t>
        </is>
      </c>
    </row>
    <row r="112" ht="29" customHeight="1">
      <c r="A112" s="62" t="inlineStr">
        <is>
          <t>MT-014</t>
        </is>
      </c>
      <c r="B112" s="62" t="inlineStr">
        <is>
          <t>Aksi</t>
        </is>
      </c>
      <c r="C112" s="62" t="inlineStr">
        <is>
          <t>Semua</t>
        </is>
      </c>
      <c r="D112" s="62" t="inlineStr">
        <is>
          <t>Approve</t>
        </is>
      </c>
      <c r="E112" s="62" t="inlineStr">
        <is>
          <t>Kritis</t>
        </is>
      </c>
      <c r="F112" s="62" t="inlineStr">
        <is>
          <t>Sebagian</t>
        </is>
      </c>
      <c r="G112" s="62" t="n"/>
      <c r="H112" s="62" t="inlineStr">
        <is>
          <t>Belum bisa dibatalkan</t>
        </is>
      </c>
      <c r="I112" s="62" t="inlineStr">
        <is>
          <t>Tinggi</t>
        </is>
      </c>
      <c r="J112" s="62" t="inlineStr">
        <is>
          <t>Sedang</t>
        </is>
      </c>
    </row>
    <row r="113" ht="72.5" customHeight="1">
      <c r="A113" s="62" t="inlineStr">
        <is>
          <t>MT-015</t>
        </is>
      </c>
      <c r="B113" s="62" t="inlineStr">
        <is>
          <t>Aksi</t>
        </is>
      </c>
      <c r="C113" s="62" t="inlineStr">
        <is>
          <t>Semua</t>
        </is>
      </c>
      <c r="D113" s="62" t="inlineStr">
        <is>
          <t>Simulate</t>
        </is>
      </c>
      <c r="E113" s="62" t="inlineStr">
        <is>
          <t>Kritis</t>
        </is>
      </c>
      <c r="F113" s="62" t="inlineStr">
        <is>
          <t>Sebagian</t>
        </is>
      </c>
      <c r="G113" s="62" t="n"/>
      <c r="H113" s="62" t="inlineStr">
        <is>
          <t>Agent Action belum terimpact pada Action History</t>
        </is>
      </c>
      <c r="I113" s="62" t="inlineStr">
        <is>
          <t>Tinggi</t>
        </is>
      </c>
      <c r="J113" s="62" t="inlineStr">
        <is>
          <t>Sedang</t>
        </is>
      </c>
    </row>
    <row r="114">
      <c r="A114" s="62" t="inlineStr">
        <is>
          <t>MT-016</t>
        </is>
      </c>
      <c r="B114" s="62" t="inlineStr">
        <is>
          <t>Aksi</t>
        </is>
      </c>
      <c r="C114" s="62" t="inlineStr">
        <is>
          <t>Semua</t>
        </is>
      </c>
      <c r="D114" s="62" t="inlineStr">
        <is>
          <t>Routing</t>
        </is>
      </c>
      <c r="E114" s="62" t="inlineStr">
        <is>
          <t>Kritis</t>
        </is>
      </c>
      <c r="F114" s="62" t="inlineStr">
        <is>
          <t>Belum diuji</t>
        </is>
      </c>
      <c r="G114" s="62" t="n"/>
      <c r="H114" s="62" t="inlineStr">
        <is>
          <t>Belum dicoba</t>
        </is>
      </c>
      <c r="I114" s="62" t="inlineStr">
        <is>
          <t>Tinggi</t>
        </is>
      </c>
      <c r="J114" s="62" t="inlineStr">
        <is>
          <t>Sedang</t>
        </is>
      </c>
    </row>
    <row r="115" ht="72.5" customHeight="1">
      <c r="A115" s="62" t="inlineStr">
        <is>
          <t>MT-018</t>
        </is>
      </c>
      <c r="B115" s="62" t="inlineStr">
        <is>
          <t>Chat</t>
        </is>
      </c>
      <c r="C115" s="62" t="inlineStr">
        <is>
          <t>Semua</t>
        </is>
      </c>
      <c r="D115" s="62" t="inlineStr">
        <is>
          <t>Perpindahan antar agent</t>
        </is>
      </c>
      <c r="E115" s="62" t="inlineStr">
        <is>
          <t>Kritis</t>
        </is>
      </c>
      <c r="F115" s="62" t="inlineStr">
        <is>
          <t>Gagal</t>
        </is>
      </c>
      <c r="G115" s="62" t="n"/>
      <c r="H115" s="62" t="inlineStr">
        <is>
          <t>Muncul error "Object of type Decimal is not JSON serializable"</t>
        </is>
      </c>
      <c r="I115" s="62" t="inlineStr">
        <is>
          <t>Tinggi</t>
        </is>
      </c>
      <c r="J115" s="62" t="inlineStr">
        <is>
          <t>Sedang</t>
        </is>
      </c>
    </row>
    <row r="116" ht="29" customHeight="1">
      <c r="A116" s="62" t="inlineStr">
        <is>
          <t>MT-023</t>
        </is>
      </c>
      <c r="B116" s="62" t="inlineStr">
        <is>
          <t>Chat</t>
        </is>
      </c>
      <c r="C116" s="62" t="inlineStr">
        <is>
          <t>Semua</t>
        </is>
      </c>
      <c r="D116" s="62" t="inlineStr">
        <is>
          <t>Kecepatan respons</t>
        </is>
      </c>
      <c r="E116" s="62" t="inlineStr">
        <is>
          <t>Tinggi</t>
        </is>
      </c>
      <c r="F116" s="62" t="inlineStr">
        <is>
          <t>Terhambat</t>
        </is>
      </c>
      <c r="G116" s="62" t="n"/>
      <c r="H116" s="62" t="inlineStr">
        <is>
          <t>Masih lambat</t>
        </is>
      </c>
      <c r="I116" s="62" t="inlineStr">
        <is>
          <t>Tinggi</t>
        </is>
      </c>
      <c r="J116" s="62" t="inlineStr">
        <is>
          <t>Sedang</t>
        </is>
      </c>
    </row>
    <row r="117" ht="58" customHeight="1">
      <c r="A117" s="62" t="inlineStr">
        <is>
          <t>MT-025</t>
        </is>
      </c>
      <c r="B117" s="62" t="inlineStr">
        <is>
          <t>Data</t>
        </is>
      </c>
      <c r="C117" s="62" t="inlineStr">
        <is>
          <t>Semua</t>
        </is>
      </c>
      <c r="D117" s="62" t="inlineStr">
        <is>
          <t>Export</t>
        </is>
      </c>
      <c r="E117" s="62" t="inlineStr">
        <is>
          <t>Sedang</t>
        </is>
      </c>
      <c r="F117" s="62" t="inlineStr">
        <is>
          <t>Belum diuji</t>
        </is>
      </c>
      <c r="G117" s="62" t="n"/>
      <c r="H117" s="62" t="inlineStr">
        <is>
          <t>Belum ada feature export dan download</t>
        </is>
      </c>
      <c r="I117" s="62" t="inlineStr">
        <is>
          <t>Sedang</t>
        </is>
      </c>
      <c r="J117" s="62" t="inlineStr">
        <is>
          <t>Mudah</t>
        </is>
      </c>
    </row>
    <row r="118" ht="29" customHeight="1">
      <c r="A118" s="62" t="inlineStr">
        <is>
          <t>MT-030</t>
        </is>
      </c>
      <c r="B118" s="62" t="inlineStr">
        <is>
          <t>Stabilitas</t>
        </is>
      </c>
      <c r="C118" s="62" t="inlineStr">
        <is>
          <t>Semua</t>
        </is>
      </c>
      <c r="D118" s="62" t="inlineStr">
        <is>
          <t>Klik cepat</t>
        </is>
      </c>
      <c r="E118" s="62" t="inlineStr">
        <is>
          <t>Tinggi</t>
        </is>
      </c>
      <c r="F118" s="62" t="inlineStr">
        <is>
          <t>Sebagian</t>
        </is>
      </c>
      <c r="G118" s="62" t="n"/>
      <c r="H118" s="62" t="inlineStr">
        <is>
          <t>Masih butuh loading</t>
        </is>
      </c>
      <c r="I118" s="62" t="inlineStr">
        <is>
          <t>Sedang</t>
        </is>
      </c>
      <c r="J118" s="62" t="inlineStr">
        <is>
          <t>Sedang</t>
        </is>
      </c>
    </row>
    <row r="119" ht="43.5" customHeight="1">
      <c r="A119" s="64" t="inlineStr">
        <is>
          <t>MT-031</t>
        </is>
      </c>
      <c r="B119" s="64" t="inlineStr">
        <is>
          <t>Stabilitas</t>
        </is>
      </c>
      <c r="C119" s="64" t="inlineStr">
        <is>
          <t>Semua</t>
        </is>
      </c>
      <c r="D119" s="64" t="inlineStr">
        <is>
          <t>Gladi bersih penuh</t>
        </is>
      </c>
      <c r="E119" s="64" t="inlineStr">
        <is>
          <t>Kritis</t>
        </is>
      </c>
      <c r="F119" s="64" t="inlineStr">
        <is>
          <t>Belum diuji</t>
        </is>
      </c>
      <c r="G119" s="64" t="n"/>
      <c r="H119" s="64" t="inlineStr">
        <is>
          <t>Masih menunggu scenario dulu</t>
        </is>
      </c>
      <c r="I119" s="64" t="inlineStr">
        <is>
          <t>Tinggi</t>
        </is>
      </c>
      <c r="J119" s="64" t="inlineStr">
        <is>
          <t>Sedang</t>
        </is>
      </c>
    </row>
  </sheetData>
  <mergeCells count="19">
    <mergeCell ref="G8:H8"/>
    <mergeCell ref="G32:J34"/>
    <mergeCell ref="E8:F8"/>
    <mergeCell ref="G31:J31"/>
    <mergeCell ref="A4:J6"/>
    <mergeCell ref="A30:J30"/>
    <mergeCell ref="A9:B10"/>
    <mergeCell ref="G9:H10"/>
    <mergeCell ref="I9:J10"/>
    <mergeCell ref="A1:J1"/>
    <mergeCell ref="I8:J8"/>
    <mergeCell ref="A8:B8"/>
    <mergeCell ref="C8:D8"/>
    <mergeCell ref="A37:J37"/>
    <mergeCell ref="A12:J12"/>
    <mergeCell ref="A2:J2"/>
    <mergeCell ref="A104:J104"/>
    <mergeCell ref="C9:D10"/>
    <mergeCell ref="E9:F10"/>
  </mergeCells>
  <conditionalFormatting sqref="C14:D27">
    <cfRule type="cellIs" priority="1" operator="equal" dxfId="1">
      <formula>"Tinggi"</formula>
    </cfRule>
    <cfRule type="cellIs" priority="2" operator="equal" dxfId="3">
      <formula>"Sedang"</formula>
    </cfRule>
    <cfRule type="cellIs" priority="3" operator="equal" dxfId="0">
      <formula>"Rendah"</formula>
    </cfRule>
    <cfRule type="cellIs" priority="4" operator="equal" dxfId="1">
      <formula>"Susah"</formula>
    </cfRule>
    <cfRule type="cellIs" priority="5" operator="equal" dxfId="0">
      <formula>"Mudah"</formula>
    </cfRule>
  </conditionalFormatting>
  <conditionalFormatting sqref="I40:J101">
    <cfRule type="cellIs" priority="6" operator="equal" dxfId="1">
      <formula>"Tinggi"</formula>
    </cfRule>
    <cfRule type="cellIs" priority="7" operator="equal" dxfId="3">
      <formula>"Sedang"</formula>
    </cfRule>
    <cfRule type="cellIs" priority="8" operator="equal" dxfId="0">
      <formula>"Rendah"</formula>
    </cfRule>
    <cfRule type="cellIs" priority="9" operator="equal" dxfId="1">
      <formula>"Susah"</formula>
    </cfRule>
    <cfRule type="cellIs" priority="10" operator="equal" dxfId="0">
      <formula>"Mudah"</formula>
    </cfRule>
  </conditionalFormatting>
  <conditionalFormatting sqref="I107:J119">
    <cfRule type="cellIs" priority="11" operator="equal" dxfId="1">
      <formula>"Tinggi"</formula>
    </cfRule>
    <cfRule type="cellIs" priority="12" operator="equal" dxfId="3">
      <formula>"Sedang"</formula>
    </cfRule>
    <cfRule type="cellIs" priority="13" operator="equal" dxfId="0">
      <formula>"Rendah"</formula>
    </cfRule>
    <cfRule type="cellIs" priority="14" operator="equal" dxfId="1">
      <formula>"Susah"</formula>
    </cfRule>
    <cfRule type="cellIs" priority="15" operator="equal" dxfId="0">
      <formula>"Mudah"</formula>
    </cfRule>
  </conditionalFormatting>
  <pageMargins left="0.7" right="0.7" top="0.75" bottom="0.75" header="0.3" footer="0.3"/>
</worksheet>
</file>

<file path=xl/worksheets/sheet14.xml><?xml version="1.0" encoding="utf-8"?>
<worksheet xmlns="http://schemas.openxmlformats.org/spreadsheetml/2006/main">
  <sheetPr>
    <tabColor rgb="FF70AD47"/>
    <outlinePr summaryBelow="1" summaryRight="1"/>
    <pageSetUpPr/>
  </sheetPr>
  <dimension ref="A1:K119"/>
  <sheetViews>
    <sheetView showGridLines="0" tabSelected="1" topLeftCell="A8" workbookViewId="0">
      <selection activeCell="D113" sqref="D113"/>
    </sheetView>
  </sheetViews>
  <sheetFormatPr baseColWidth="8" defaultRowHeight="14.5"/>
  <cols>
    <col width="7.26953125" customWidth="1" min="1" max="1"/>
    <col width="12.7265625" customWidth="1" min="2" max="2"/>
    <col width="30" customWidth="1" min="3" max="3"/>
    <col width="10.90625" customWidth="1" min="4" max="4"/>
    <col width="30" customWidth="1" min="5" max="5"/>
    <col width="14.54296875" customWidth="1" min="6" max="6"/>
    <col width="16.36328125" customWidth="1" min="7" max="7"/>
    <col width="12.7265625" customWidth="1" min="8" max="8"/>
    <col width="10.90625" customWidth="1" min="9" max="10"/>
    <col width="62" customWidth="1" min="11" max="11"/>
  </cols>
  <sheetData>
    <row r="1" ht="30" customHeight="1">
      <c r="A1" s="43" t="inlineStr">
        <is>
          <t>TECHNICAL PRIORITIES — AI FINANCE FORUM</t>
        </is>
      </c>
    </row>
    <row r="2">
      <c r="A2" s="44" t="inlineStr">
        <is>
          <t>Technical prioritization based on 62 QC findings and manual-test results as of 29 July 2026</t>
        </is>
      </c>
    </row>
    <row r="4">
      <c r="A4" s="45" t="inlineStr">
        <is>
          <t>Story-in-Brief: First restore confidence in the numbers���the Leakage charts, one shared dataset across agents, and action impacts calculated from the model. Immediate quick wins are removing developer conversation history and all illustrative/debug wording. Once the numerical foundation is stable, close the stage-critical feature gaps and critical manual tests; filters, deduplication, and cross-agent handoffs follow in the next wave. Do not run the final rehearsal until every High-priority item is complete and retested.</t>
        </is>
      </c>
    </row>
    <row r="5"/>
    <row r="6"/>
    <row r="8">
      <c r="A8" s="48" t="inlineStr">
        <is>
          <t>TOTAL FINDINGS</t>
        </is>
      </c>
      <c r="C8" s="48" t="inlineStr">
        <is>
          <t>HIGH PRIORITY</t>
        </is>
      </c>
      <c r="E8" s="48" t="inlineStr">
        <is>
          <t>DIFFICULT</t>
        </is>
      </c>
      <c r="G8" s="48" t="inlineStr">
        <is>
          <t>DEMO BLOCKERS</t>
        </is>
      </c>
      <c r="I8" s="48" t="inlineStr">
        <is>
          <t>TESTS STILL AT RISK</t>
        </is>
      </c>
    </row>
    <row r="9" ht="25" customHeight="1">
      <c r="A9" s="47">
        <f>COUNTA(A40:A101)</f>
        <v/>
      </c>
      <c r="C9" s="47">
        <f>COUNTIF(I40:I101,"High")</f>
        <v/>
      </c>
      <c r="E9" s="47">
        <f>COUNTIF(J40:J101,"Difficult")</f>
        <v/>
      </c>
      <c r="G9" s="47">
        <f>COUNTIF(E40:E101,"Yes")</f>
        <v/>
      </c>
      <c r="I9" s="47">
        <f>COUNTA(A107:A119)</f>
        <v/>
      </c>
    </row>
    <row r="10" ht="25" customHeight="1"/>
    <row r="12">
      <c r="A12" s="49" t="inlineStr">
        <is>
          <t>RECOMMENDED DELIVERY SEQUENCE</t>
        </is>
      </c>
    </row>
    <row r="13" ht="29" customHeight="1">
      <c r="A13" s="57" t="inlineStr">
        <is>
          <t>Order</t>
        </is>
      </c>
      <c r="B13" s="57" t="inlineStr">
        <is>
          <t>Workstream</t>
        </is>
      </c>
      <c r="C13" s="57" t="inlineStr">
        <is>
          <t>Priority</t>
        </is>
      </c>
      <c r="D13" s="57" t="inlineStr">
        <is>
          <t>Difficulty</t>
        </is>
      </c>
      <c r="E13" s="57" t="inlineStr">
        <is>
          <t>Rationale &amp; next action</t>
        </is>
      </c>
      <c r="F13" s="57" t="inlineStr">
        <is>
          <t>Related QC / Test</t>
        </is>
      </c>
      <c r="G13" s="57" t="inlineStr">
        <is>
          <t>Owner</t>
        </is>
      </c>
      <c r="H13" s="57" t="inlineStr">
        <is>
          <t>Target</t>
        </is>
      </c>
      <c r="I13" s="51" t="n"/>
      <c r="J13" s="51" t="n"/>
    </row>
    <row r="14" ht="58" customHeight="1">
      <c r="A14" s="65" t="n">
        <v>1</v>
      </c>
      <c r="B14" s="62" t="inlineStr">
        <is>
          <t>Restore Leakage numbers and charts</t>
        </is>
      </c>
      <c r="C14" s="52" t="inlineStr">
        <is>
          <t>High</t>
        </is>
      </c>
      <c r="D14" s="52" t="inlineStr">
        <is>
          <t>Difficult</t>
        </is>
      </c>
      <c r="E14" s="62" t="inlineStr">
        <is>
          <t>Fix amount mapping and unify KPI/detail queries; the current landing view appears broken.</t>
        </is>
      </c>
      <c r="F14" s="62" t="inlineStr">
        <is>
          <t>QC-001, QC-024</t>
        </is>
      </c>
      <c r="G14" s="62" t="inlineStr">
        <is>
          <t>Backend / data</t>
        </is>
      </c>
      <c r="H14" s="60" t="n">
        <v>46234</v>
      </c>
      <c r="I14" s="51" t="n"/>
      <c r="J14" s="51" t="n"/>
    </row>
    <row r="15" ht="43.5" customHeight="1">
      <c r="A15" s="65" t="n">
        <v>2</v>
      </c>
      <c r="B15" s="62" t="inlineStr">
        <is>
          <t>Unify the dataset across all four agents</t>
        </is>
      </c>
      <c r="C15" s="52" t="inlineStr">
        <is>
          <t>High</t>
        </is>
      </c>
      <c r="D15" s="52" t="inlineStr">
        <is>
          <t>Difficult</t>
        </is>
      </c>
      <c r="E15" s="62" t="inlineStr">
        <is>
          <t>Use one import batch/ledger as the source of truth across Finance, Collection, Leakage, and Treasury.</t>
        </is>
      </c>
      <c r="F15" s="62" t="inlineStr">
        <is>
          <t>QC-002, QC-003, QC-044</t>
        </is>
      </c>
      <c r="G15" s="62" t="inlineStr">
        <is>
          <t>Backend / data</t>
        </is>
      </c>
      <c r="H15" s="60" t="n">
        <v>46238</v>
      </c>
      <c r="I15" s="51" t="n"/>
      <c r="J15" s="51" t="n"/>
    </row>
    <row r="16" ht="58" customHeight="1">
      <c r="A16" s="65" t="n">
        <v>3</v>
      </c>
      <c r="B16" s="62" t="inlineStr">
        <is>
          <t>Calculate action impacts from the model</t>
        </is>
      </c>
      <c r="C16" s="52" t="inlineStr">
        <is>
          <t>High</t>
        </is>
      </c>
      <c r="D16" s="52" t="inlineStr">
        <is>
          <t>Difficult</t>
        </is>
      </c>
      <c r="E16" s="62" t="inlineStr">
        <is>
          <t>Replace manual impact strings with forecast calculations, unit validation, and double-count protection.</t>
        </is>
      </c>
      <c r="F16" s="62" t="inlineStr">
        <is>
          <t>QC-004, 005, 016, 017, 019, 022</t>
        </is>
      </c>
      <c r="G16" s="62" t="inlineStr">
        <is>
          <t>Backend / agent logic</t>
        </is>
      </c>
      <c r="H16" s="60" t="n">
        <v>46238</v>
      </c>
      <c r="I16" s="51" t="n"/>
      <c r="J16" s="51" t="n"/>
    </row>
    <row r="17" ht="58" customHeight="1">
      <c r="A17" s="65" t="n">
        <v>4</v>
      </c>
      <c r="B17" s="62" t="inlineStr">
        <is>
          <t>Clean the demo conversation history</t>
        </is>
      </c>
      <c r="C17" s="52" t="inlineStr">
        <is>
          <t>High</t>
        </is>
      </c>
      <c r="D17" s="52" t="inlineStr">
        <is>
          <t>Easy</t>
        </is>
      </c>
      <c r="E17" s="62" t="inlineStr">
        <is>
          <t>Delete developer data or hide the history panel in the demo environment.</t>
        </is>
      </c>
      <c r="F17" s="62" t="inlineStr">
        <is>
          <t>QC-006</t>
        </is>
      </c>
      <c r="G17" s="62" t="inlineStr">
        <is>
          <t>Demo owner</t>
        </is>
      </c>
      <c r="H17" s="60" t="n">
        <v>46233</v>
      </c>
      <c r="I17" s="51" t="n"/>
      <c r="J17" s="51" t="n"/>
    </row>
    <row r="18" ht="43.5" customHeight="1">
      <c r="A18" s="65" t="n">
        <v>5</v>
      </c>
      <c r="B18" s="62" t="inlineStr">
        <is>
          <t>Remove illustrative/debug wording</t>
        </is>
      </c>
      <c r="C18" s="52" t="inlineStr">
        <is>
          <t>High</t>
        </is>
      </c>
      <c r="D18" s="52" t="inlineStr">
        <is>
          <t>Easy</t>
        </is>
      </c>
      <c r="E18" s="62" t="inlineStr">
        <is>
          <t>Remove visible debug notes from the response model.</t>
        </is>
      </c>
      <c r="F18" s="62" t="inlineStr">
        <is>
          <t>QC-039</t>
        </is>
      </c>
      <c r="G18" s="62" t="inlineStr">
        <is>
          <t>Backend</t>
        </is>
      </c>
      <c r="H18" s="60" t="n">
        <v>46234</v>
      </c>
      <c r="I18" s="51" t="n"/>
      <c r="J18" s="51" t="n"/>
    </row>
    <row r="19" ht="43.5" customHeight="1">
      <c r="A19" s="65" t="n">
        <v>6</v>
      </c>
      <c r="B19" s="62" t="inlineStr">
        <is>
          <t>Standardize KPI definitions and values</t>
        </is>
      </c>
      <c r="C19" s="52" t="inlineStr">
        <is>
          <t>High</t>
        </is>
      </c>
      <c r="D19" s="52" t="inlineStr">
        <is>
          <t>Moderate</t>
        </is>
      </c>
      <c r="E19" s="62" t="inlineStr">
        <is>
          <t>Adopt one definition for exposure, Top 5, EBITDA target, COGS, and flag count.</t>
        </is>
      </c>
      <c r="F19" s="62" t="inlineStr">
        <is>
          <t>QC-007–011, 014–015</t>
        </is>
      </c>
      <c r="G19" s="62" t="inlineStr">
        <is>
          <t>Backend / agent logic</t>
        </is>
      </c>
      <c r="H19" s="60" t="n">
        <v>46238</v>
      </c>
      <c r="I19" s="51" t="n"/>
      <c r="J19" s="51" t="n"/>
    </row>
    <row r="20" ht="58" customHeight="1">
      <c r="A20" s="65" t="n">
        <v>7</v>
      </c>
      <c r="B20" s="62" t="inlineStr">
        <is>
          <t>Close stage-critical feature gaps</t>
        </is>
      </c>
      <c r="C20" s="52" t="inlineStr">
        <is>
          <t>High</t>
        </is>
      </c>
      <c r="D20" s="52" t="inlineStr">
        <is>
          <t>Difficult</t>
        </is>
      </c>
      <c r="E20" s="62" t="inlineStr">
        <is>
          <t>Prioritize formula explanations, guided story, baseline reset, and Bahasa Indonesia before cosmetic features.</t>
        </is>
      </c>
      <c r="F20" s="62" t="inlineStr">
        <is>
          <t>QC-049, 050, 058, 059</t>
        </is>
      </c>
      <c r="G20" s="62" t="inlineStr">
        <is>
          <t>Backend + frontend</t>
        </is>
      </c>
      <c r="H20" s="60" t="n">
        <v>46238</v>
      </c>
      <c r="I20" s="51" t="n"/>
      <c r="J20" s="51" t="n"/>
    </row>
    <row r="21" ht="43.5" customHeight="1">
      <c r="A21" s="65" t="n">
        <v>8</v>
      </c>
      <c r="B21" s="62" t="inlineStr">
        <is>
          <t>Complete critical manual tests</t>
        </is>
      </c>
      <c r="C21" s="52" t="inlineStr">
        <is>
          <t>High</t>
        </is>
      </c>
      <c r="D21" s="52" t="inlineStr">
        <is>
          <t>Moderate</t>
        </is>
      </c>
      <c r="E21" s="62" t="inlineStr">
        <is>
          <t>Fix failed/partial tests, then run the entire checklist twice on the final build.</t>
        </is>
      </c>
      <c r="F21" s="62" t="inlineStr">
        <is>
          <t>QC-045; MT-001,002,010,014,015,018</t>
        </is>
      </c>
      <c r="G21" s="62" t="inlineStr">
        <is>
          <t>Demo owner + Tech</t>
        </is>
      </c>
      <c r="H21" s="60" t="n">
        <v>46245</v>
      </c>
      <c r="I21" s="51" t="n"/>
      <c r="J21" s="51" t="n"/>
    </row>
    <row r="22" ht="43.5" customHeight="1">
      <c r="A22" s="65" t="n">
        <v>9</v>
      </c>
      <c r="B22" s="62" t="inlineStr">
        <is>
          <t>Enable cross-agent handoffs</t>
        </is>
      </c>
      <c r="C22" s="52" t="inlineStr">
        <is>
          <t>Medium</t>
        </is>
      </c>
      <c r="D22" s="52" t="inlineStr">
        <is>
          <t>Difficult</t>
        </is>
      </c>
      <c r="E22" s="62" t="inlineStr">
        <is>
          <t>Connect Collection–Treasury and fix Decimal serialization in chat handoffs.</t>
        </is>
      </c>
      <c r="F22" s="62" t="inlineStr">
        <is>
          <t>QC-047; MT-018</t>
        </is>
      </c>
      <c r="G22" s="62" t="inlineStr">
        <is>
          <t>Backend / agent logic</t>
        </is>
      </c>
      <c r="H22" s="60" t="n">
        <v>46242</v>
      </c>
      <c r="I22" s="51" t="n"/>
      <c r="J22" s="51" t="n"/>
    </row>
    <row r="23" ht="43.5" customHeight="1">
      <c r="A23" s="65" t="n">
        <v>10</v>
      </c>
      <c r="B23" s="62" t="inlineStr">
        <is>
          <t>Deduplicate alerts and actions</t>
        </is>
      </c>
      <c r="C23" s="52" t="inlineStr">
        <is>
          <t>Medium</t>
        </is>
      </c>
      <c r="D23" s="52" t="inlineStr">
        <is>
          <t>Difficult</t>
        </is>
      </c>
      <c r="E23" s="62" t="inlineStr">
        <is>
          <t>Add clustering/deduplication and show eight unique stories instead of 47 repetitions.</t>
        </is>
      </c>
      <c r="F23" s="62" t="inlineStr">
        <is>
          <t>QC-021, QC-023</t>
        </is>
      </c>
      <c r="G23" s="62" t="inlineStr">
        <is>
          <t>Backend / agent logic</t>
        </is>
      </c>
      <c r="H23" s="60" t="n">
        <v>46240</v>
      </c>
      <c r="I23" s="51" t="n"/>
      <c r="J23" s="51" t="n"/>
    </row>
    <row r="24" ht="43.5" customHeight="1">
      <c r="A24" s="65" t="n">
        <v>11</v>
      </c>
      <c r="B24" s="62" t="inlineStr">
        <is>
          <t>Add chart periods and drivers</t>
        </is>
      </c>
      <c r="C24" s="52" t="inlineStr">
        <is>
          <t>Medium</t>
        </is>
      </c>
      <c r="D24" s="52" t="inlineStr">
        <is>
          <t>Moderate</t>
        </is>
      </c>
      <c r="E24" s="62" t="inlineStr">
        <is>
          <t>Include period in payloads/labels and add drivers that explain the cash trough.</t>
        </is>
      </c>
      <c r="F24" s="62" t="inlineStr">
        <is>
          <t>QC-035, QC-037</t>
        </is>
      </c>
      <c r="G24" s="62" t="inlineStr">
        <is>
          <t>Frontend + backend</t>
        </is>
      </c>
      <c r="H24" s="60" t="n">
        <v>46245</v>
      </c>
      <c r="I24" s="51" t="n"/>
      <c r="J24" s="51" t="n"/>
    </row>
    <row r="25" ht="58" customHeight="1">
      <c r="A25" s="65" t="n">
        <v>12</v>
      </c>
      <c r="B25" s="62" t="inlineStr">
        <is>
          <t>Enable entity/period/category filters</t>
        </is>
      </c>
      <c r="C25" s="52" t="inlineStr">
        <is>
          <t>Medium</t>
        </is>
      </c>
      <c r="D25" s="52" t="inlineStr">
        <is>
          <t>Difficult</t>
        </is>
      </c>
      <c r="E25" s="62" t="inlineStr">
        <is>
          <t>Implement filtering end-to-end after the shared dataset is stable.</t>
        </is>
      </c>
      <c r="F25" s="62" t="inlineStr">
        <is>
          <t>QC-043</t>
        </is>
      </c>
      <c r="G25" s="62" t="inlineStr">
        <is>
          <t>Full stack</t>
        </is>
      </c>
      <c r="H25" s="60" t="n">
        <v>46245</v>
      </c>
      <c r="I25" s="51" t="n"/>
      <c r="J25" s="51" t="n"/>
    </row>
    <row r="26" ht="43.5" customHeight="1">
      <c r="A26" s="65" t="n">
        <v>13</v>
      </c>
      <c r="B26" s="62" t="inlineStr">
        <is>
          <t>Remove cold-start and latency risk</t>
        </is>
      </c>
      <c r="C26" s="52" t="inlineStr">
        <is>
          <t>Medium</t>
        </is>
      </c>
      <c r="D26" s="52" t="inlineStr">
        <is>
          <t>Moderate</t>
        </is>
      </c>
      <c r="E26" s="62" t="inlineStr">
        <is>
          <t>Keep an instance warm, measure response time, and optimize loading before rehearsal.</t>
        </is>
      </c>
      <c r="F26" s="62" t="inlineStr">
        <is>
          <t>MT-023, MT-029, MT-030</t>
        </is>
      </c>
      <c r="G26" s="62" t="inlineStr">
        <is>
          <t>Infrastructure</t>
        </is>
      </c>
      <c r="H26" s="60" t="n">
        <v>46245</v>
      </c>
      <c r="I26" s="51" t="n"/>
      <c r="J26" s="51" t="n"/>
    </row>
    <row r="27" ht="43.5" customHeight="1">
      <c r="A27" s="66" t="n">
        <v>14</v>
      </c>
      <c r="B27" s="64" t="inlineStr">
        <is>
          <t>Rehearse at the event resolution</t>
        </is>
      </c>
      <c r="C27" s="54" t="inlineStr">
        <is>
          <t>Medium</t>
        </is>
      </c>
      <c r="D27" s="54" t="inlineStr">
        <is>
          <t>Easy</t>
        </is>
      </c>
      <c r="E27" s="64" t="inlineStr">
        <is>
          <t>Run the four-minute story twice after every High-priority item is complete.</t>
        </is>
      </c>
      <c r="F27" s="64" t="inlineStr">
        <is>
          <t>MT-031</t>
        </is>
      </c>
      <c r="G27" s="64" t="inlineStr">
        <is>
          <t>Demo owner</t>
        </is>
      </c>
      <c r="H27" s="61" t="n">
        <v>46247</v>
      </c>
      <c r="I27" s="51" t="n"/>
      <c r="J27" s="51" t="n"/>
    </row>
    <row r="28">
      <c r="A28" s="51" t="n"/>
      <c r="B28" s="51" t="n"/>
      <c r="C28" s="51" t="n"/>
      <c r="D28" s="51" t="n"/>
      <c r="E28" s="51" t="n"/>
      <c r="F28" s="51" t="n"/>
      <c r="G28" s="51" t="n"/>
      <c r="H28" s="51" t="n"/>
      <c r="I28" s="51" t="n"/>
      <c r="J28" s="51" t="n"/>
    </row>
    <row r="29">
      <c r="A29" s="51" t="n"/>
      <c r="B29" s="51" t="n"/>
      <c r="C29" s="51" t="n"/>
      <c r="D29" s="51" t="n"/>
      <c r="E29" s="51" t="n"/>
      <c r="F29" s="51" t="n"/>
      <c r="G29" s="51" t="n"/>
      <c r="H29" s="51" t="n"/>
      <c r="I29" s="51" t="n"/>
      <c r="J29" s="51" t="n"/>
    </row>
    <row r="30">
      <c r="A30" s="56" t="inlineStr">
        <is>
          <t>FINDINGS PORTFOLIO SUMMARY</t>
        </is>
      </c>
    </row>
    <row r="31">
      <c r="A31" s="57" t="inlineStr">
        <is>
          <t>Priority</t>
        </is>
      </c>
      <c r="B31" s="57" t="inlineStr">
        <is>
          <t>Count</t>
        </is>
      </c>
      <c r="C31" s="51" t="n"/>
      <c r="D31" s="57" t="inlineStr">
        <is>
          <t>Difficulty</t>
        </is>
      </c>
      <c r="E31" s="57" t="inlineStr">
        <is>
          <t>Count</t>
        </is>
      </c>
      <c r="F31" s="51" t="n"/>
      <c r="G31" s="57" t="inlineStr">
        <is>
          <t>CLASSIFICATION RULES</t>
        </is>
      </c>
      <c r="H31" s="78" t="n"/>
      <c r="I31" s="78" t="n"/>
      <c r="J31" s="79" t="n"/>
    </row>
    <row r="32">
      <c r="A32" s="52" t="inlineStr">
        <is>
          <t>High</t>
        </is>
      </c>
      <c r="B32" s="52">
        <f>COUNTIF($I$40:$I$101,A32)</f>
        <v/>
      </c>
      <c r="C32" s="51" t="n"/>
      <c r="D32" s="52" t="inlineStr">
        <is>
          <t>Easy</t>
        </is>
      </c>
      <c r="E32" s="52">
        <f>COUNTIF($J$40:$J$101,D32)</f>
        <v/>
      </c>
      <c r="F32" s="51" t="n"/>
      <c r="G32" s="62" t="inlineStr">
        <is>
          <t>High = open Critical/High demo blocker. Medium = Medium blocker or High non-blocker. Low = all others. Difficulty is estimated from data/architecture scope, cross-component dependencies, and change type.</t>
        </is>
      </c>
      <c r="H32" s="80" t="n"/>
      <c r="I32" s="80" t="n"/>
      <c r="J32" s="81" t="n"/>
    </row>
    <row r="33">
      <c r="A33" s="52" t="inlineStr">
        <is>
          <t>Medium</t>
        </is>
      </c>
      <c r="B33" s="52">
        <f>COUNTIF($I$40:$I$101,A33)</f>
        <v/>
      </c>
      <c r="C33" s="51" t="n"/>
      <c r="D33" s="52" t="inlineStr">
        <is>
          <t>Moderate</t>
        </is>
      </c>
      <c r="E33" s="52">
        <f>COUNTIF($J$40:$J$101,D33)</f>
        <v/>
      </c>
      <c r="F33" s="51" t="n"/>
      <c r="G33" s="82" t="n"/>
      <c r="J33" s="83" t="n"/>
    </row>
    <row r="34">
      <c r="A34" s="54" t="inlineStr">
        <is>
          <t>Low</t>
        </is>
      </c>
      <c r="B34" s="54">
        <f>COUNTIF($I$40:$I$101,A34)</f>
        <v/>
      </c>
      <c r="C34" s="51" t="n"/>
      <c r="D34" s="54" t="inlineStr">
        <is>
          <t>Difficult</t>
        </is>
      </c>
      <c r="E34" s="54">
        <f>COUNTIF($J$40:$J$101,D34)</f>
        <v/>
      </c>
      <c r="F34" s="51" t="n"/>
      <c r="G34" s="84" t="n"/>
      <c r="H34" s="85" t="n"/>
      <c r="I34" s="85" t="n"/>
      <c r="J34" s="86" t="n"/>
    </row>
    <row r="35">
      <c r="A35" s="51" t="n"/>
      <c r="B35" s="51" t="n"/>
      <c r="C35" s="51" t="n"/>
      <c r="D35" s="51" t="n"/>
      <c r="E35" s="51" t="n"/>
      <c r="F35" s="51" t="n"/>
      <c r="G35" s="51" t="n"/>
      <c r="H35" s="51" t="n"/>
      <c r="I35" s="51" t="n"/>
      <c r="J35" s="51" t="n"/>
    </row>
    <row r="36">
      <c r="A36" s="51" t="n"/>
      <c r="B36" s="51" t="n"/>
      <c r="C36" s="51" t="n"/>
      <c r="D36" s="51" t="n"/>
      <c r="E36" s="51" t="n"/>
      <c r="F36" s="51" t="n"/>
      <c r="G36" s="51" t="n"/>
      <c r="H36" s="51" t="n"/>
      <c r="I36" s="51" t="n"/>
      <c r="J36" s="51" t="n"/>
    </row>
    <row r="37">
      <c r="A37" s="56" t="inlineStr">
        <is>
          <t>COMPLETE BACKLOG — 62 FINDINGS SORTED BY PRIORITY</t>
        </is>
      </c>
    </row>
    <row r="38">
      <c r="A38" s="51" t="n"/>
      <c r="B38" s="51" t="n"/>
      <c r="C38" s="51" t="n"/>
      <c r="D38" s="51" t="n"/>
      <c r="E38" s="51" t="n"/>
      <c r="F38" s="51" t="n"/>
      <c r="G38" s="51" t="n"/>
      <c r="H38" s="51" t="n"/>
      <c r="I38" s="51" t="n"/>
      <c r="J38" s="51" t="n"/>
    </row>
    <row r="39">
      <c r="A39" s="57" t="inlineStr">
        <is>
          <t>ID</t>
        </is>
      </c>
      <c r="B39" s="57" t="inlineStr">
        <is>
          <t>Agent</t>
        </is>
      </c>
      <c r="C39" s="57" t="inlineStr">
        <is>
          <t>Finding</t>
        </is>
      </c>
      <c r="D39" s="57" t="inlineStr">
        <is>
          <t>Severity</t>
        </is>
      </c>
      <c r="E39" s="57" t="inlineStr">
        <is>
          <t>Blocker</t>
        </is>
      </c>
      <c r="F39" s="57" t="inlineStr">
        <is>
          <t>Status</t>
        </is>
      </c>
      <c r="G39" s="57" t="inlineStr">
        <is>
          <t>Owner</t>
        </is>
      </c>
      <c r="H39" s="57" t="inlineStr">
        <is>
          <t>Target</t>
        </is>
      </c>
      <c r="I39" s="57" t="inlineStr">
        <is>
          <t>Priority</t>
        </is>
      </c>
      <c r="J39" s="57" t="inlineStr">
        <is>
          <t>Difficulty</t>
        </is>
      </c>
      <c r="K39" s="74" t="inlineStr">
        <is>
          <t>Fix status 30 Jul 2026</t>
        </is>
      </c>
    </row>
    <row r="40" ht="29" customHeight="1">
      <c r="A40" s="62" t="inlineStr">
        <is>
          <t>QC-004</t>
        </is>
      </c>
      <c r="B40" s="62" t="inlineStr">
        <is>
          <t>Treasury</t>
        </is>
      </c>
      <c r="C40" s="62" t="inlineStr">
        <is>
          <t>Deferral action moves headroom the wrong way</t>
        </is>
      </c>
      <c r="D40" s="67" t="inlineStr">
        <is>
          <t>Critical</t>
        </is>
      </c>
      <c r="E40" s="67" t="inlineStr">
        <is>
          <t>Yes</t>
        </is>
      </c>
      <c r="F40" s="67" t="inlineStr">
        <is>
          <t>Open</t>
        </is>
      </c>
      <c r="G40" s="67" t="inlineStr">
        <is>
          <t>Backend / agent logic</t>
        </is>
      </c>
      <c r="H40" s="68" t="n">
        <v>46234</v>
      </c>
      <c r="I40" s="67" t="inlineStr">
        <is>
          <t>High</t>
        </is>
      </c>
      <c r="J40" s="67" t="inlineStr">
        <is>
          <t>Easy</t>
        </is>
      </c>
    </row>
    <row r="41" ht="29" customHeight="1">
      <c r="A41" s="62" t="inlineStr">
        <is>
          <t>QC-006</t>
        </is>
      </c>
      <c r="B41" s="62" t="inlineStr">
        <is>
          <t>All</t>
        </is>
      </c>
      <c r="C41" s="62" t="inlineStr">
        <is>
          <t>Conversation history is full of developer test messages</t>
        </is>
      </c>
      <c r="D41" s="67" t="inlineStr">
        <is>
          <t>Critical</t>
        </is>
      </c>
      <c r="E41" s="67" t="inlineStr">
        <is>
          <t>Yes</t>
        </is>
      </c>
      <c r="F41" s="67" t="inlineStr">
        <is>
          <t>Open</t>
        </is>
      </c>
      <c r="G41" s="67" t="inlineStr">
        <is>
          <t>Demo owner</t>
        </is>
      </c>
      <c r="H41" s="68" t="n">
        <v>46234</v>
      </c>
      <c r="I41" s="67" t="inlineStr">
        <is>
          <t>High</t>
        </is>
      </c>
      <c r="J41" s="67" t="inlineStr">
        <is>
          <t>Easy</t>
        </is>
      </c>
    </row>
    <row r="42" ht="29" customHeight="1">
      <c r="A42" s="62" t="inlineStr">
        <is>
          <t>QC-007</t>
        </is>
      </c>
      <c r="B42" s="62" t="inlineStr">
        <is>
          <t>Collection</t>
        </is>
      </c>
      <c r="C42" s="62" t="inlineStr">
        <is>
          <t>High-risk KPI and the risk tier chart disagree on the same screen</t>
        </is>
      </c>
      <c r="D42" s="67" t="inlineStr">
        <is>
          <t>High</t>
        </is>
      </c>
      <c r="E42" s="67" t="inlineStr">
        <is>
          <t>Yes</t>
        </is>
      </c>
      <c r="F42" s="87" t="inlineStr">
        <is>
          <t>Fixed - awaiting retest</t>
        </is>
      </c>
      <c r="G42" s="67" t="inlineStr">
        <is>
          <t>Backend / agent logic</t>
        </is>
      </c>
      <c r="H42" s="68" t="n">
        <v>46238</v>
      </c>
      <c r="I42" s="67" t="inlineStr">
        <is>
          <t>High</t>
        </is>
      </c>
      <c r="J42" s="67" t="inlineStr">
        <is>
          <t>Easy</t>
        </is>
      </c>
      <c r="K42" s="76" t="inlineStr">
        <is>
          <t>Fixed 30 Jul 2026 (commit 53daa2c). The card showed high_risk_provision (2,500) under a label reading 'exposure'. It now shows the High tier exposure (5,000), which equals the chart bar, with the provision moved to the caption.</t>
        </is>
      </c>
    </row>
    <row r="43" ht="29" customHeight="1">
      <c r="A43" s="62" t="inlineStr">
        <is>
          <t>QC-014</t>
        </is>
      </c>
      <c r="B43" s="62" t="inlineStr">
        <is>
          <t>Leakage</t>
        </is>
      </c>
      <c r="C43" s="62" t="inlineStr">
        <is>
          <t>Flag count on the KPI does not match the tables</t>
        </is>
      </c>
      <c r="D43" s="67" t="inlineStr">
        <is>
          <t>High</t>
        </is>
      </c>
      <c r="E43" s="67" t="inlineStr">
        <is>
          <t>Yes</t>
        </is>
      </c>
      <c r="F43" s="87" t="inlineStr">
        <is>
          <t>Fixed - awaiting retest</t>
        </is>
      </c>
      <c r="G43" s="67" t="inlineStr">
        <is>
          <t>Backend / agent logic</t>
        </is>
      </c>
      <c r="H43" s="68" t="n">
        <v>46238</v>
      </c>
      <c r="I43" s="67" t="inlineStr">
        <is>
          <t>High</t>
        </is>
      </c>
      <c r="J43" s="67" t="inlineStr">
        <is>
          <t>Easy</t>
        </is>
      </c>
      <c r="K43" s="76" t="inlineStr">
        <is>
          <t>Fixed 30 Jul 2026 (commit 53daa2c). The KPI now reads summary.items_flagged (10). The 22 came from len(anomalies), which is LIMIT 30 and includes rows that are not flagged.</t>
        </is>
      </c>
    </row>
    <row r="44" ht="29" customHeight="1">
      <c r="A44" s="62" t="inlineStr">
        <is>
          <t>QC-021</t>
        </is>
      </c>
      <c r="B44" s="62" t="inlineStr">
        <is>
          <t>All</t>
        </is>
      </c>
      <c r="C44" s="62" t="inlineStr">
        <is>
          <t>47 action cards with heavy duplication</t>
        </is>
      </c>
      <c r="D44" s="67" t="inlineStr">
        <is>
          <t>High</t>
        </is>
      </c>
      <c r="E44" s="67" t="inlineStr">
        <is>
          <t>Yes</t>
        </is>
      </c>
      <c r="F44" s="67" t="inlineStr">
        <is>
          <t>Open</t>
        </is>
      </c>
      <c r="G44" s="67" t="inlineStr">
        <is>
          <t>Backend / agent logic</t>
        </is>
      </c>
      <c r="H44" s="68" t="n">
        <v>46238</v>
      </c>
      <c r="I44" s="67" t="inlineStr">
        <is>
          <t>High</t>
        </is>
      </c>
      <c r="J44" s="67" t="inlineStr">
        <is>
          <t>Easy</t>
        </is>
      </c>
    </row>
    <row r="45" ht="43.5" customHeight="1">
      <c r="A45" s="62" t="inlineStr">
        <is>
          <t>QC-005</t>
        </is>
      </c>
      <c r="B45" s="62" t="inlineStr">
        <is>
          <t>Treasury</t>
        </is>
      </c>
      <c r="C45" s="62" t="inlineStr">
        <is>
          <t>Action mixes headroom with closing cash in one before-and-after</t>
        </is>
      </c>
      <c r="D45" s="67" t="inlineStr">
        <is>
          <t>Critical</t>
        </is>
      </c>
      <c r="E45" s="67" t="inlineStr">
        <is>
          <t>Yes</t>
        </is>
      </c>
      <c r="F45" s="67" t="inlineStr">
        <is>
          <t>Open</t>
        </is>
      </c>
      <c r="G45" s="67" t="inlineStr">
        <is>
          <t>Backend / agent logic</t>
        </is>
      </c>
      <c r="H45" s="68" t="n">
        <v>46234</v>
      </c>
      <c r="I45" s="67" t="inlineStr">
        <is>
          <t>High</t>
        </is>
      </c>
      <c r="J45" s="67" t="inlineStr">
        <is>
          <t>Medium</t>
        </is>
      </c>
    </row>
    <row r="46" ht="29" customHeight="1">
      <c r="A46" s="62" t="inlineStr">
        <is>
          <t>QC-008</t>
        </is>
      </c>
      <c r="B46" s="62" t="inlineStr">
        <is>
          <t>Collection</t>
        </is>
      </c>
      <c r="C46" s="63" t="inlineStr">
        <is>
          <t>Top 5' is defined three different ways inside one agent</t>
        </is>
      </c>
      <c r="D46" s="67" t="inlineStr">
        <is>
          <t>High</t>
        </is>
      </c>
      <c r="E46" s="67" t="inlineStr">
        <is>
          <t>Yes</t>
        </is>
      </c>
      <c r="F46" s="67" t="inlineStr">
        <is>
          <t>Open</t>
        </is>
      </c>
      <c r="G46" s="67" t="inlineStr">
        <is>
          <t>Backend / agent logic</t>
        </is>
      </c>
      <c r="H46" s="68" t="n">
        <v>46238</v>
      </c>
      <c r="I46" s="67" t="inlineStr">
        <is>
          <t>High</t>
        </is>
      </c>
      <c r="J46" s="67" t="inlineStr">
        <is>
          <t>Medium</t>
        </is>
      </c>
    </row>
    <row r="47" ht="29" customHeight="1">
      <c r="A47" s="62" t="inlineStr">
        <is>
          <t>QC-009</t>
        </is>
      </c>
      <c r="B47" s="62" t="inlineStr">
        <is>
          <t>Finance</t>
        </is>
      </c>
      <c r="C47" s="62" t="inlineStr">
        <is>
          <t>Two different EBITDA margin targets are in use</t>
        </is>
      </c>
      <c r="D47" s="67" t="inlineStr">
        <is>
          <t>High</t>
        </is>
      </c>
      <c r="E47" s="67" t="inlineStr">
        <is>
          <t>Yes</t>
        </is>
      </c>
      <c r="F47" s="87" t="inlineStr">
        <is>
          <t>Fixed - awaiting retest</t>
        </is>
      </c>
      <c r="G47" s="67" t="inlineStr">
        <is>
          <t>Backend / agent logic</t>
        </is>
      </c>
      <c r="H47" s="68" t="n">
        <v>46238</v>
      </c>
      <c r="I47" s="67" t="inlineStr">
        <is>
          <t>High</t>
        </is>
      </c>
      <c r="J47" s="67" t="inlineStr">
        <is>
          <t>Medium</t>
        </is>
      </c>
      <c r="K47" s="76" t="inlineStr">
        <is>
          <t>Fixed 30 Jul 2026 (commit f448e66). The target now comes from the budget row (7,200 / 46,000 = 15.65%) and is threaded through the card caption, gauge label, simulator baseline and the recalculate endpoint. NOTE: formula check #18 expects 9.2/15 = 0.6133; with one target it becomes 9.2/15.65 = 0.586, so that check needs updating.</t>
        </is>
      </c>
    </row>
    <row r="48" ht="43.5" customHeight="1">
      <c r="A48" s="62" t="inlineStr">
        <is>
          <t>QC-010</t>
        </is>
      </c>
      <c r="B48" s="62" t="inlineStr">
        <is>
          <t>Finance</t>
        </is>
      </c>
      <c r="C48" s="62" t="inlineStr">
        <is>
          <t>Price variance is roughly ten times too small for the stated price decline</t>
        </is>
      </c>
      <c r="D48" s="67" t="inlineStr">
        <is>
          <t>High</t>
        </is>
      </c>
      <c r="E48" s="67" t="inlineStr">
        <is>
          <t>Yes</t>
        </is>
      </c>
      <c r="F48" s="67" t="inlineStr">
        <is>
          <t>Open</t>
        </is>
      </c>
      <c r="G48" s="67" t="inlineStr">
        <is>
          <t>Backend / agent logic</t>
        </is>
      </c>
      <c r="H48" s="68" t="n">
        <v>46238</v>
      </c>
      <c r="I48" s="67" t="inlineStr">
        <is>
          <t>High</t>
        </is>
      </c>
      <c r="J48" s="67" t="inlineStr">
        <is>
          <t>Medium</t>
        </is>
      </c>
    </row>
    <row r="49" ht="29" customHeight="1">
      <c r="A49" s="62" t="inlineStr">
        <is>
          <t>QC-011</t>
        </is>
      </c>
      <c r="B49" s="62" t="inlineStr">
        <is>
          <t>Finance</t>
        </is>
      </c>
      <c r="C49" s="62" t="inlineStr">
        <is>
          <t>COGS variance is stated as two different numbers</t>
        </is>
      </c>
      <c r="D49" s="67" t="inlineStr">
        <is>
          <t>High</t>
        </is>
      </c>
      <c r="E49" s="67" t="inlineStr">
        <is>
          <t>Yes</t>
        </is>
      </c>
      <c r="F49" s="67" t="inlineStr">
        <is>
          <t>Open</t>
        </is>
      </c>
      <c r="G49" s="67" t="inlineStr">
        <is>
          <t>Backend / agent logic</t>
        </is>
      </c>
      <c r="H49" s="68" t="n">
        <v>46238</v>
      </c>
      <c r="I49" s="67" t="inlineStr">
        <is>
          <t>High</t>
        </is>
      </c>
      <c r="J49" s="67" t="inlineStr">
        <is>
          <t>Medium</t>
        </is>
      </c>
    </row>
    <row r="50" ht="29" customHeight="1">
      <c r="A50" s="62" t="inlineStr">
        <is>
          <t>QC-015</t>
        </is>
      </c>
      <c r="B50" s="62" t="inlineStr">
        <is>
          <t>Leakage</t>
        </is>
      </c>
      <c r="C50" s="62" t="inlineStr">
        <is>
          <t>Split-invoice exposure sits in the chart but outside the total</t>
        </is>
      </c>
      <c r="D50" s="67" t="inlineStr">
        <is>
          <t>High</t>
        </is>
      </c>
      <c r="E50" s="67" t="inlineStr">
        <is>
          <t>Yes</t>
        </is>
      </c>
      <c r="F50" s="88" t="inlineStr">
        <is>
          <t>In progress</t>
        </is>
      </c>
      <c r="G50" s="67" t="inlineStr">
        <is>
          <t>Backend / agent logic</t>
        </is>
      </c>
      <c r="H50" s="68" t="n">
        <v>46238</v>
      </c>
      <c r="I50" s="67" t="inlineStr">
        <is>
          <t>High</t>
        </is>
      </c>
      <c r="J50" s="67" t="inlineStr">
        <is>
          <t>Medium</t>
        </is>
      </c>
      <c r="K50" s="76" t="inlineStr">
        <is>
          <t>Partly fixed 30 Jul 2026 (commit 53daa2c). The dashboard no longer contradicts itself: rows with is_direct_loss = false are out of the category bar and mix donut, so both sum to 7,845, and the 1,950 is named in the chart note. The alert wording has NOT been checked yet.</t>
        </is>
      </c>
    </row>
    <row r="51" ht="29" customHeight="1">
      <c r="A51" s="62" t="inlineStr">
        <is>
          <t>QC-016</t>
        </is>
      </c>
      <c r="B51" s="62" t="inlineStr">
        <is>
          <t>Collection</t>
        </is>
      </c>
      <c r="C51" s="62" t="inlineStr">
        <is>
          <t>Action impact does not match its own recommendation</t>
        </is>
      </c>
      <c r="D51" s="67" t="inlineStr">
        <is>
          <t>High</t>
        </is>
      </c>
      <c r="E51" s="67" t="inlineStr">
        <is>
          <t>Yes</t>
        </is>
      </c>
      <c r="F51" s="67" t="inlineStr">
        <is>
          <t>Open</t>
        </is>
      </c>
      <c r="G51" s="67" t="inlineStr">
        <is>
          <t>Backend / agent logic</t>
        </is>
      </c>
      <c r="H51" s="68" t="n">
        <v>46238</v>
      </c>
      <c r="I51" s="67" t="inlineStr">
        <is>
          <t>High</t>
        </is>
      </c>
      <c r="J51" s="67" t="inlineStr">
        <is>
          <t>Medium</t>
        </is>
      </c>
    </row>
    <row r="52" ht="29" customHeight="1">
      <c r="A52" s="62" t="inlineStr">
        <is>
          <t>QC-017</t>
        </is>
      </c>
      <c r="B52" s="62" t="inlineStr">
        <is>
          <t>Treasury</t>
        </is>
      </c>
      <c r="C52" s="62" t="inlineStr">
        <is>
          <t>Combined action shows only part of its own effect</t>
        </is>
      </c>
      <c r="D52" s="67" t="inlineStr">
        <is>
          <t>High</t>
        </is>
      </c>
      <c r="E52" s="67" t="inlineStr">
        <is>
          <t>Yes</t>
        </is>
      </c>
      <c r="F52" s="67" t="inlineStr">
        <is>
          <t>Open</t>
        </is>
      </c>
      <c r="G52" s="67" t="inlineStr">
        <is>
          <t>Backend / agent logic</t>
        </is>
      </c>
      <c r="H52" s="68" t="n">
        <v>46238</v>
      </c>
      <c r="I52" s="67" t="inlineStr">
        <is>
          <t>High</t>
        </is>
      </c>
      <c r="J52" s="67" t="inlineStr">
        <is>
          <t>Medium</t>
        </is>
      </c>
    </row>
    <row r="53" ht="29" customHeight="1">
      <c r="A53" s="62" t="inlineStr">
        <is>
          <t>QC-019</t>
        </is>
      </c>
      <c r="B53" s="62" t="inlineStr">
        <is>
          <t>Treasury</t>
        </is>
      </c>
      <c r="C53" s="62" t="inlineStr">
        <is>
          <t>Credit line action is anchored to the wrong week</t>
        </is>
      </c>
      <c r="D53" s="67" t="inlineStr">
        <is>
          <t>High</t>
        </is>
      </c>
      <c r="E53" s="67" t="inlineStr">
        <is>
          <t>Yes</t>
        </is>
      </c>
      <c r="F53" s="67" t="inlineStr">
        <is>
          <t>Open</t>
        </is>
      </c>
      <c r="G53" s="67" t="inlineStr">
        <is>
          <t>Backend / agent logic</t>
        </is>
      </c>
      <c r="H53" s="68" t="n">
        <v>46238</v>
      </c>
      <c r="I53" s="67" t="inlineStr">
        <is>
          <t>High</t>
        </is>
      </c>
      <c r="J53" s="67" t="inlineStr">
        <is>
          <t>Medium</t>
        </is>
      </c>
    </row>
    <row r="54" ht="29" customHeight="1">
      <c r="A54" s="62" t="inlineStr">
        <is>
          <t>QC-022</t>
        </is>
      </c>
      <c r="B54" s="62" t="inlineStr">
        <is>
          <t>All</t>
        </is>
      </c>
      <c r="C54" s="62" t="inlineStr">
        <is>
          <t>Action impacts stack with no double-count guard</t>
        </is>
      </c>
      <c r="D54" s="67" t="inlineStr">
        <is>
          <t>High</t>
        </is>
      </c>
      <c r="E54" s="67" t="inlineStr">
        <is>
          <t>Yes</t>
        </is>
      </c>
      <c r="F54" s="67" t="inlineStr">
        <is>
          <t>Open</t>
        </is>
      </c>
      <c r="G54" s="67" t="inlineStr">
        <is>
          <t>Backend / agent logic</t>
        </is>
      </c>
      <c r="H54" s="68" t="n">
        <v>46238</v>
      </c>
      <c r="I54" s="67" t="inlineStr">
        <is>
          <t>High</t>
        </is>
      </c>
      <c r="J54" s="67" t="inlineStr">
        <is>
          <t>Medium</t>
        </is>
      </c>
    </row>
    <row r="55" ht="29" customHeight="1">
      <c r="A55" s="62" t="inlineStr">
        <is>
          <t>QC-045</t>
        </is>
      </c>
      <c r="B55" s="62" t="inlineStr">
        <is>
          <t>All</t>
        </is>
      </c>
      <c r="C55" s="62" t="inlineStr">
        <is>
          <t>Interactive behaviour could not be verified remotely</t>
        </is>
      </c>
      <c r="D55" s="67" t="inlineStr">
        <is>
          <t>High</t>
        </is>
      </c>
      <c r="E55" s="67" t="inlineStr">
        <is>
          <t>Yes</t>
        </is>
      </c>
      <c r="F55" s="67" t="inlineStr">
        <is>
          <t>Open</t>
        </is>
      </c>
      <c r="G55" s="67" t="inlineStr">
        <is>
          <t>Demo owner</t>
        </is>
      </c>
      <c r="H55" s="68" t="n">
        <v>46238</v>
      </c>
      <c r="I55" s="67" t="inlineStr">
        <is>
          <t>High</t>
        </is>
      </c>
      <c r="J55" s="67" t="inlineStr">
        <is>
          <t>Medium</t>
        </is>
      </c>
    </row>
    <row r="56" ht="29" customHeight="1">
      <c r="A56" s="62" t="inlineStr">
        <is>
          <t>QC-001</t>
        </is>
      </c>
      <c r="B56" s="62" t="inlineStr">
        <is>
          <t>Leakage</t>
        </is>
      </c>
      <c r="C56" s="62" t="inlineStr">
        <is>
          <t>Leakage category chart returns all zeros</t>
        </is>
      </c>
      <c r="D56" s="67" t="inlineStr">
        <is>
          <t>Critical</t>
        </is>
      </c>
      <c r="E56" s="67" t="inlineStr">
        <is>
          <t>Yes</t>
        </is>
      </c>
      <c r="F56" s="87" t="inlineStr">
        <is>
          <t>Fixed - awaiting retest</t>
        </is>
      </c>
      <c r="G56" s="67" t="inlineStr">
        <is>
          <t>Backend / data</t>
        </is>
      </c>
      <c r="H56" s="68" t="n">
        <v>46234</v>
      </c>
      <c r="I56" s="67" t="inlineStr">
        <is>
          <t>High</t>
        </is>
      </c>
      <c r="J56" s="67" t="inlineStr">
        <is>
          <t>Difficult</t>
        </is>
      </c>
      <c r="K56" s="76" t="inlineStr">
        <is>
          <t>Fixed 30 Jul 2026 (branch bug-fix-trial, commit 53daa2c). category_breakdowns.amount_at_risk_idr_mn was probed as amount_idr_mn, so _row_get returned None and every value became 0.0 with no error. Verified on live DB batch 17: bars 3,800 / 3,050 / 900 / 95 sum to 7,845 = the Flagged this cycle card.</t>
        </is>
      </c>
    </row>
    <row r="57" ht="29" customHeight="1">
      <c r="A57" s="62" t="inlineStr">
        <is>
          <t>QC-002</t>
        </is>
      </c>
      <c r="B57" s="62" t="inlineStr">
        <is>
          <t>All</t>
        </is>
      </c>
      <c r="C57" s="62" t="inlineStr">
        <is>
          <t>The four agents run on four unrelated data batches</t>
        </is>
      </c>
      <c r="D57" s="67" t="inlineStr">
        <is>
          <t>Critical</t>
        </is>
      </c>
      <c r="E57" s="67" t="inlineStr">
        <is>
          <t>Yes</t>
        </is>
      </c>
      <c r="F57" s="67" t="inlineStr">
        <is>
          <t>Open</t>
        </is>
      </c>
      <c r="G57" s="67" t="inlineStr">
        <is>
          <t>Backend / data</t>
        </is>
      </c>
      <c r="H57" s="68" t="n">
        <v>46234</v>
      </c>
      <c r="I57" s="67" t="inlineStr">
        <is>
          <t>High</t>
        </is>
      </c>
      <c r="J57" s="67" t="inlineStr">
        <is>
          <t>Difficult</t>
        </is>
      </c>
    </row>
    <row r="58" ht="29" customHeight="1">
      <c r="A58" s="62" t="inlineStr">
        <is>
          <t>QC-003</t>
        </is>
      </c>
      <c r="B58" s="62" t="inlineStr">
        <is>
          <t>Finance + Collection</t>
        </is>
      </c>
      <c r="C58" s="62" t="inlineStr">
        <is>
          <t>Collection revenue base is about 15 times the Finance revenue</t>
        </is>
      </c>
      <c r="D58" s="67" t="inlineStr">
        <is>
          <t>Critical</t>
        </is>
      </c>
      <c r="E58" s="67" t="inlineStr">
        <is>
          <t>Yes</t>
        </is>
      </c>
      <c r="F58" s="67" t="inlineStr">
        <is>
          <t>Open</t>
        </is>
      </c>
      <c r="G58" s="67" t="inlineStr">
        <is>
          <t>Backend / data</t>
        </is>
      </c>
      <c r="H58" s="68" t="n">
        <v>46234</v>
      </c>
      <c r="I58" s="67" t="inlineStr">
        <is>
          <t>High</t>
        </is>
      </c>
      <c r="J58" s="67" t="inlineStr">
        <is>
          <t>Difficult</t>
        </is>
      </c>
    </row>
    <row r="59" ht="29" customHeight="1">
      <c r="A59" s="62" t="inlineStr">
        <is>
          <t>QC-020</t>
        </is>
      </c>
      <c r="B59" s="62" t="inlineStr">
        <is>
          <t>All</t>
        </is>
      </c>
      <c r="C59" s="62" t="inlineStr">
        <is>
          <t>Agent keys are inconsistent between endpoints</t>
        </is>
      </c>
      <c r="D59" s="67" t="inlineStr">
        <is>
          <t>High</t>
        </is>
      </c>
      <c r="E59" s="67" t="inlineStr">
        <is>
          <t>Yes</t>
        </is>
      </c>
      <c r="F59" s="67" t="inlineStr">
        <is>
          <t>Open</t>
        </is>
      </c>
      <c r="G59" s="67" t="inlineStr">
        <is>
          <t>Backend</t>
        </is>
      </c>
      <c r="H59" s="68" t="n">
        <v>46238</v>
      </c>
      <c r="I59" s="67" t="inlineStr">
        <is>
          <t>High</t>
        </is>
      </c>
      <c r="J59" s="67" t="inlineStr">
        <is>
          <t>Difficult</t>
        </is>
      </c>
    </row>
    <row r="60" ht="29" customHeight="1">
      <c r="A60" s="62" t="inlineStr">
        <is>
          <t>QC-024</t>
        </is>
      </c>
      <c r="B60" s="62" t="inlineStr">
        <is>
          <t>Leakage</t>
        </is>
      </c>
      <c r="C60" s="62" t="inlineStr">
        <is>
          <t>The Leakage agent opens on an empty chart</t>
        </is>
      </c>
      <c r="D60" s="67" t="inlineStr">
        <is>
          <t>High</t>
        </is>
      </c>
      <c r="E60" s="67" t="inlineStr">
        <is>
          <t>Yes</t>
        </is>
      </c>
      <c r="F60" s="87" t="inlineStr">
        <is>
          <t>Fixed - awaiting retest</t>
        </is>
      </c>
      <c r="G60" s="67" t="inlineStr">
        <is>
          <t>Backend / data</t>
        </is>
      </c>
      <c r="H60" s="68" t="n">
        <v>46238</v>
      </c>
      <c r="I60" s="67" t="inlineStr">
        <is>
          <t>High</t>
        </is>
      </c>
      <c r="J60" s="67" t="inlineStr">
        <is>
          <t>Difficult</t>
        </is>
      </c>
      <c r="K60" s="76" t="inlineStr">
        <is>
          <t>Fixed 30 Jul 2026 (commit 53daa2c). Same root cause as QC-001; the default view 'categories' now renders four bars on open.</t>
        </is>
      </c>
    </row>
    <row r="61" ht="29" customHeight="1">
      <c r="A61" s="62" t="inlineStr">
        <is>
          <t>QC-043</t>
        </is>
      </c>
      <c r="B61" s="62" t="inlineStr">
        <is>
          <t>All</t>
        </is>
      </c>
      <c r="C61" s="62" t="inlineStr">
        <is>
          <t>The app has no filters at all</t>
        </is>
      </c>
      <c r="D61" s="67" t="inlineStr">
        <is>
          <t>High</t>
        </is>
      </c>
      <c r="E61" s="67" t="inlineStr">
        <is>
          <t>Yes</t>
        </is>
      </c>
      <c r="F61" s="67" t="inlineStr">
        <is>
          <t>Open</t>
        </is>
      </c>
      <c r="G61" s="67" t="inlineStr">
        <is>
          <t>Backend + frontend</t>
        </is>
      </c>
      <c r="H61" s="68" t="n">
        <v>46238</v>
      </c>
      <c r="I61" s="67" t="inlineStr">
        <is>
          <t>High</t>
        </is>
      </c>
      <c r="J61" s="67" t="inlineStr">
        <is>
          <t>Difficult</t>
        </is>
      </c>
    </row>
    <row r="62" ht="29" customHeight="1">
      <c r="A62" s="62" t="inlineStr">
        <is>
          <t>QC-044</t>
        </is>
      </c>
      <c r="B62" s="62" t="inlineStr">
        <is>
          <t>All</t>
        </is>
      </c>
      <c r="C62" s="62" t="inlineStr">
        <is>
          <t>Dataset is far below the volume the client asked for</t>
        </is>
      </c>
      <c r="D62" s="67" t="inlineStr">
        <is>
          <t>High</t>
        </is>
      </c>
      <c r="E62" s="67" t="inlineStr">
        <is>
          <t>Yes</t>
        </is>
      </c>
      <c r="F62" s="67" t="inlineStr">
        <is>
          <t>Open</t>
        </is>
      </c>
      <c r="G62" s="67" t="inlineStr">
        <is>
          <t>Backend / data</t>
        </is>
      </c>
      <c r="H62" s="68" t="n">
        <v>46238</v>
      </c>
      <c r="I62" s="67" t="inlineStr">
        <is>
          <t>High</t>
        </is>
      </c>
      <c r="J62" s="67" t="inlineStr">
        <is>
          <t>Difficult</t>
        </is>
      </c>
    </row>
    <row r="63" ht="29" customHeight="1">
      <c r="A63" s="62" t="inlineStr">
        <is>
          <t>QC-047</t>
        </is>
      </c>
      <c r="B63" s="62" t="inlineStr">
        <is>
          <t>Collection + Treasury</t>
        </is>
      </c>
      <c r="C63" s="62" t="inlineStr">
        <is>
          <t>Treasury collection lever is not linked to the Collection book</t>
        </is>
      </c>
      <c r="D63" s="67" t="inlineStr">
        <is>
          <t>High</t>
        </is>
      </c>
      <c r="E63" s="67" t="inlineStr">
        <is>
          <t>Yes</t>
        </is>
      </c>
      <c r="F63" s="67" t="inlineStr">
        <is>
          <t>Open</t>
        </is>
      </c>
      <c r="G63" s="67" t="inlineStr">
        <is>
          <t>Backend / agent logic</t>
        </is>
      </c>
      <c r="H63" s="68" t="n">
        <v>46238</v>
      </c>
      <c r="I63" s="67" t="inlineStr">
        <is>
          <t>High</t>
        </is>
      </c>
      <c r="J63" s="67" t="inlineStr">
        <is>
          <t>Difficult</t>
        </is>
      </c>
    </row>
    <row r="64" ht="29" customHeight="1">
      <c r="A64" s="62" t="inlineStr">
        <is>
          <t>QC-049</t>
        </is>
      </c>
      <c r="B64" s="62" t="inlineStr">
        <is>
          <t>All</t>
        </is>
      </c>
      <c r="C64" s="62" t="inlineStr">
        <is>
          <t>No formula explanation panel anywhere in the app</t>
        </is>
      </c>
      <c r="D64" s="67" t="inlineStr">
        <is>
          <t>Critical</t>
        </is>
      </c>
      <c r="E64" s="67" t="inlineStr">
        <is>
          <t>Yes</t>
        </is>
      </c>
      <c r="F64" s="67" t="inlineStr">
        <is>
          <t>Open</t>
        </is>
      </c>
      <c r="G64" s="67" t="inlineStr">
        <is>
          <t>Backend + frontend</t>
        </is>
      </c>
      <c r="H64" s="68" t="n">
        <v>46238</v>
      </c>
      <c r="I64" s="67" t="inlineStr">
        <is>
          <t>High</t>
        </is>
      </c>
      <c r="J64" s="67" t="inlineStr">
        <is>
          <t>Difficult</t>
        </is>
      </c>
    </row>
    <row r="65">
      <c r="A65" s="62" t="inlineStr">
        <is>
          <t>QC-050</t>
        </is>
      </c>
      <c r="B65" s="62" t="inlineStr">
        <is>
          <t>All</t>
        </is>
      </c>
      <c r="C65" s="62" t="inlineStr">
        <is>
          <t>No guided story mode</t>
        </is>
      </c>
      <c r="D65" s="67" t="inlineStr">
        <is>
          <t>Critical</t>
        </is>
      </c>
      <c r="E65" s="67" t="inlineStr">
        <is>
          <t>Yes</t>
        </is>
      </c>
      <c r="F65" s="67" t="inlineStr">
        <is>
          <t>Open</t>
        </is>
      </c>
      <c r="G65" s="67" t="inlineStr">
        <is>
          <t>Frontend</t>
        </is>
      </c>
      <c r="H65" s="68" t="n">
        <v>46238</v>
      </c>
      <c r="I65" s="67" t="inlineStr">
        <is>
          <t>High</t>
        </is>
      </c>
      <c r="J65" s="67" t="inlineStr">
        <is>
          <t>Difficult</t>
        </is>
      </c>
    </row>
    <row r="66" ht="29" customHeight="1">
      <c r="A66" s="62" t="inlineStr">
        <is>
          <t>QC-051</t>
        </is>
      </c>
      <c r="B66" s="62" t="inlineStr">
        <is>
          <t>All</t>
        </is>
      </c>
      <c r="C66" s="62" t="inlineStr">
        <is>
          <t>Simulator cannot save, load or compare a scenario</t>
        </is>
      </c>
      <c r="D66" s="67" t="inlineStr">
        <is>
          <t>High</t>
        </is>
      </c>
      <c r="E66" s="67" t="inlineStr">
        <is>
          <t>Yes</t>
        </is>
      </c>
      <c r="F66" s="67" t="inlineStr">
        <is>
          <t>Open</t>
        </is>
      </c>
      <c r="G66" s="67" t="inlineStr">
        <is>
          <t>Backend + frontend</t>
        </is>
      </c>
      <c r="H66" s="68" t="n">
        <v>46242</v>
      </c>
      <c r="I66" s="67" t="inlineStr">
        <is>
          <t>High</t>
        </is>
      </c>
      <c r="J66" s="67" t="inlineStr">
        <is>
          <t>Difficult</t>
        </is>
      </c>
    </row>
    <row r="67" ht="29" customHeight="1">
      <c r="A67" s="62" t="inlineStr">
        <is>
          <t>QC-052</t>
        </is>
      </c>
      <c r="B67" s="62" t="inlineStr">
        <is>
          <t>All</t>
        </is>
      </c>
      <c r="C67" s="62" t="inlineStr">
        <is>
          <t>Simulator has no presets</t>
        </is>
      </c>
      <c r="D67" s="67" t="inlineStr">
        <is>
          <t>High</t>
        </is>
      </c>
      <c r="E67" s="67" t="inlineStr">
        <is>
          <t>Yes</t>
        </is>
      </c>
      <c r="F67" s="67" t="inlineStr">
        <is>
          <t>Open</t>
        </is>
      </c>
      <c r="G67" s="67" t="inlineStr">
        <is>
          <t>Backend + frontend</t>
        </is>
      </c>
      <c r="H67" s="68" t="n">
        <v>46242</v>
      </c>
      <c r="I67" s="67" t="inlineStr">
        <is>
          <t>High</t>
        </is>
      </c>
      <c r="J67" s="67" t="inlineStr">
        <is>
          <t>Difficult</t>
        </is>
      </c>
    </row>
    <row r="68" ht="29" customHeight="1">
      <c r="A68" s="62" t="inlineStr">
        <is>
          <t>QC-054</t>
        </is>
      </c>
      <c r="B68" s="62" t="inlineStr">
        <is>
          <t>All</t>
        </is>
      </c>
      <c r="C68" s="62" t="inlineStr">
        <is>
          <t>KPI tiles have no trend sparkline</t>
        </is>
      </c>
      <c r="D68" s="67" t="inlineStr">
        <is>
          <t>High</t>
        </is>
      </c>
      <c r="E68" s="67" t="inlineStr">
        <is>
          <t>Yes</t>
        </is>
      </c>
      <c r="F68" s="67" t="inlineStr">
        <is>
          <t>Open</t>
        </is>
      </c>
      <c r="G68" s="67" t="inlineStr">
        <is>
          <t>Backend + frontend</t>
        </is>
      </c>
      <c r="H68" s="68" t="n">
        <v>46242</v>
      </c>
      <c r="I68" s="67" t="inlineStr">
        <is>
          <t>High</t>
        </is>
      </c>
      <c r="J68" s="67" t="inlineStr">
        <is>
          <t>Difficult</t>
        </is>
      </c>
    </row>
    <row r="69">
      <c r="A69" s="62" t="inlineStr">
        <is>
          <t>QC-055</t>
        </is>
      </c>
      <c r="B69" s="62" t="inlineStr">
        <is>
          <t>All</t>
        </is>
      </c>
      <c r="C69" s="62" t="inlineStr">
        <is>
          <t>Actions carry no confidence level</t>
        </is>
      </c>
      <c r="D69" s="67" t="inlineStr">
        <is>
          <t>High</t>
        </is>
      </c>
      <c r="E69" s="67" t="inlineStr">
        <is>
          <t>Yes</t>
        </is>
      </c>
      <c r="F69" s="67" t="inlineStr">
        <is>
          <t>Open</t>
        </is>
      </c>
      <c r="G69" s="67" t="inlineStr">
        <is>
          <t>Backend</t>
        </is>
      </c>
      <c r="H69" s="68" t="n">
        <v>46242</v>
      </c>
      <c r="I69" s="67" t="inlineStr">
        <is>
          <t>High</t>
        </is>
      </c>
      <c r="J69" s="67" t="inlineStr">
        <is>
          <t>Difficult</t>
        </is>
      </c>
    </row>
    <row r="70" ht="29" customHeight="1">
      <c r="A70" s="62" t="inlineStr">
        <is>
          <t>QC-056</t>
        </is>
      </c>
      <c r="B70" s="62" t="inlineStr">
        <is>
          <t>All</t>
        </is>
      </c>
      <c r="C70" s="62" t="inlineStr">
        <is>
          <t>No visible cascade when an action executes</t>
        </is>
      </c>
      <c r="D70" s="67" t="inlineStr">
        <is>
          <t>High</t>
        </is>
      </c>
      <c r="E70" s="67" t="inlineStr">
        <is>
          <t>Yes</t>
        </is>
      </c>
      <c r="F70" s="67" t="inlineStr">
        <is>
          <t>Open</t>
        </is>
      </c>
      <c r="G70" s="67" t="inlineStr">
        <is>
          <t>Frontend</t>
        </is>
      </c>
      <c r="H70" s="68" t="n">
        <v>46242</v>
      </c>
      <c r="I70" s="67" t="inlineStr">
        <is>
          <t>High</t>
        </is>
      </c>
      <c r="J70" s="67" t="inlineStr">
        <is>
          <t>Difficult</t>
        </is>
      </c>
    </row>
    <row r="71" ht="29" customHeight="1">
      <c r="A71" s="62" t="inlineStr">
        <is>
          <t>QC-057</t>
        </is>
      </c>
      <c r="B71" s="62" t="inlineStr">
        <is>
          <t>All</t>
        </is>
      </c>
      <c r="C71" s="62" t="inlineStr">
        <is>
          <t>No status notification feed</t>
        </is>
      </c>
      <c r="D71" s="67" t="inlineStr">
        <is>
          <t>High</t>
        </is>
      </c>
      <c r="E71" s="67" t="inlineStr">
        <is>
          <t>Yes</t>
        </is>
      </c>
      <c r="F71" s="67" t="inlineStr">
        <is>
          <t>Open</t>
        </is>
      </c>
      <c r="G71" s="67" t="inlineStr">
        <is>
          <t>Backend + frontend</t>
        </is>
      </c>
      <c r="H71" s="68" t="n">
        <v>46245</v>
      </c>
      <c r="I71" s="67" t="inlineStr">
        <is>
          <t>High</t>
        </is>
      </c>
      <c r="J71" s="67" t="inlineStr">
        <is>
          <t>Difficult</t>
        </is>
      </c>
    </row>
    <row r="72" ht="29" customHeight="1">
      <c r="A72" s="62" t="inlineStr">
        <is>
          <t>QC-058</t>
        </is>
      </c>
      <c r="B72" s="62" t="inlineStr">
        <is>
          <t>All</t>
        </is>
      </c>
      <c r="C72" s="62" t="inlineStr">
        <is>
          <t>No Bahasa Indonesia toggle</t>
        </is>
      </c>
      <c r="D72" s="67" t="inlineStr">
        <is>
          <t>High</t>
        </is>
      </c>
      <c r="E72" s="67" t="inlineStr">
        <is>
          <t>Yes</t>
        </is>
      </c>
      <c r="F72" s="67" t="inlineStr">
        <is>
          <t>Open</t>
        </is>
      </c>
      <c r="G72" s="67" t="inlineStr">
        <is>
          <t>Backend + frontend</t>
        </is>
      </c>
      <c r="H72" s="68" t="n">
        <v>46242</v>
      </c>
      <c r="I72" s="67" t="inlineStr">
        <is>
          <t>High</t>
        </is>
      </c>
      <c r="J72" s="67" t="inlineStr">
        <is>
          <t>Difficult</t>
        </is>
      </c>
    </row>
    <row r="73" ht="29" customHeight="1">
      <c r="A73" s="62" t="inlineStr">
        <is>
          <t>QC-059</t>
        </is>
      </c>
      <c r="B73" s="62" t="inlineStr">
        <is>
          <t>All</t>
        </is>
      </c>
      <c r="C73" s="62" t="inlineStr">
        <is>
          <t>No reset to baseline</t>
        </is>
      </c>
      <c r="D73" s="67" t="inlineStr">
        <is>
          <t>High</t>
        </is>
      </c>
      <c r="E73" s="67" t="inlineStr">
        <is>
          <t>Yes</t>
        </is>
      </c>
      <c r="F73" s="67" t="inlineStr">
        <is>
          <t>Open</t>
        </is>
      </c>
      <c r="G73" s="67" t="inlineStr">
        <is>
          <t>Backend + frontend</t>
        </is>
      </c>
      <c r="H73" s="68" t="n">
        <v>46238</v>
      </c>
      <c r="I73" s="67" t="inlineStr">
        <is>
          <t>High</t>
        </is>
      </c>
      <c r="J73" s="67" t="inlineStr">
        <is>
          <t>Difficult</t>
        </is>
      </c>
    </row>
    <row r="74" ht="29" customHeight="1">
      <c r="A74" s="62" t="inlineStr">
        <is>
          <t>QC-012</t>
        </is>
      </c>
      <c r="B74" s="62" t="inlineStr">
        <is>
          <t>Finance</t>
        </is>
      </c>
      <c r="C74" s="62" t="inlineStr">
        <is>
          <t>Two near-identical numbers mean two different things</t>
        </is>
      </c>
      <c r="D74" s="67" t="inlineStr">
        <is>
          <t>High</t>
        </is>
      </c>
      <c r="E74" s="67" t="inlineStr">
        <is>
          <t>No</t>
        </is>
      </c>
      <c r="F74" s="67" t="inlineStr">
        <is>
          <t>Open</t>
        </is>
      </c>
      <c r="G74" s="67" t="inlineStr">
        <is>
          <t>Demo owner</t>
        </is>
      </c>
      <c r="H74" s="68" t="n">
        <v>46238</v>
      </c>
      <c r="I74" s="67" t="inlineStr">
        <is>
          <t>Medium</t>
        </is>
      </c>
      <c r="J74" s="67" t="inlineStr">
        <is>
          <t>Easy</t>
        </is>
      </c>
    </row>
    <row r="75" ht="43.5" customHeight="1">
      <c r="A75" s="62" t="inlineStr">
        <is>
          <t>QC-018</t>
        </is>
      </c>
      <c r="B75" s="62" t="inlineStr">
        <is>
          <t>Collection</t>
        </is>
      </c>
      <c r="C75" s="62" t="inlineStr">
        <is>
          <t>Action labels the top-2 concentration as the overall overdue share</t>
        </is>
      </c>
      <c r="D75" s="67" t="inlineStr">
        <is>
          <t>High</t>
        </is>
      </c>
      <c r="E75" s="67" t="inlineStr">
        <is>
          <t>No</t>
        </is>
      </c>
      <c r="F75" s="67" t="inlineStr">
        <is>
          <t>Open</t>
        </is>
      </c>
      <c r="G75" s="67" t="inlineStr">
        <is>
          <t>Backend / agent logic</t>
        </is>
      </c>
      <c r="H75" s="68" t="n">
        <v>46238</v>
      </c>
      <c r="I75" s="67" t="inlineStr">
        <is>
          <t>Medium</t>
        </is>
      </c>
      <c r="J75" s="67" t="inlineStr">
        <is>
          <t>Easy</t>
        </is>
      </c>
    </row>
    <row r="76" ht="29" customHeight="1">
      <c r="A76" s="62" t="inlineStr">
        <is>
          <t>QC-025</t>
        </is>
      </c>
      <c r="B76" s="62" t="inlineStr">
        <is>
          <t>Treasury</t>
        </is>
      </c>
      <c r="C76" s="62" t="inlineStr">
        <is>
          <t>FX action states exposure falls to the hedge amount</t>
        </is>
      </c>
      <c r="D76" s="67" t="inlineStr">
        <is>
          <t>High</t>
        </is>
      </c>
      <c r="E76" s="67" t="inlineStr">
        <is>
          <t>No</t>
        </is>
      </c>
      <c r="F76" s="67" t="inlineStr">
        <is>
          <t>Open</t>
        </is>
      </c>
      <c r="G76" s="67" t="inlineStr">
        <is>
          <t>Backend / agent logic</t>
        </is>
      </c>
      <c r="H76" s="68" t="n">
        <v>46238</v>
      </c>
      <c r="I76" s="67" t="inlineStr">
        <is>
          <t>Medium</t>
        </is>
      </c>
      <c r="J76" s="67" t="inlineStr">
        <is>
          <t>Easy</t>
        </is>
      </c>
    </row>
    <row r="77" ht="29" customHeight="1">
      <c r="A77" s="62" t="inlineStr">
        <is>
          <t>QC-039</t>
        </is>
      </c>
      <c r="B77" s="62" t="inlineStr">
        <is>
          <t>All</t>
        </is>
      </c>
      <c r="C77" s="62" t="inlineStr">
        <is>
          <t>The word 'illustrative' is exposed in the payload</t>
        </is>
      </c>
      <c r="D77" s="67" t="inlineStr">
        <is>
          <t>Medium</t>
        </is>
      </c>
      <c r="E77" s="67" t="inlineStr">
        <is>
          <t>Yes</t>
        </is>
      </c>
      <c r="F77" s="87" t="inlineStr">
        <is>
          <t>Fixed - awaiting retest</t>
        </is>
      </c>
      <c r="G77" s="67" t="inlineStr">
        <is>
          <t>Backend</t>
        </is>
      </c>
      <c r="H77" s="68" t="n">
        <v>46245</v>
      </c>
      <c r="I77" s="67" t="inlineStr">
        <is>
          <t>Medium</t>
        </is>
      </c>
      <c r="J77" s="67" t="inlineStr">
        <is>
          <t>Easy</t>
        </is>
      </c>
      <c r="K77" s="76" t="inlineStr">
        <is>
          <t>Fixed 30 Jul 2026 (commit f448e66). Removed the 'illustrative' flags, the db_kpis_count / db_profit_count / db_variance_count debug counters, and reworded the debug-flavoured notes. A test now fails if any of them come back.</t>
        </is>
      </c>
    </row>
    <row r="78" ht="29" customHeight="1">
      <c r="A78" s="62" t="inlineStr">
        <is>
          <t>QC-040</t>
        </is>
      </c>
      <c r="B78" s="62" t="inlineStr">
        <is>
          <t>Treasury</t>
        </is>
      </c>
      <c r="C78" s="62" t="inlineStr">
        <is>
          <t>It is unclear whether the customer delay is already in the forecast</t>
        </is>
      </c>
      <c r="D78" s="67" t="inlineStr">
        <is>
          <t>Medium</t>
        </is>
      </c>
      <c r="E78" s="67" t="inlineStr">
        <is>
          <t>Yes</t>
        </is>
      </c>
      <c r="F78" s="67" t="inlineStr">
        <is>
          <t>Open</t>
        </is>
      </c>
      <c r="G78" s="67" t="inlineStr">
        <is>
          <t>Backend / agent logic</t>
        </is>
      </c>
      <c r="H78" s="68" t="n">
        <v>46245</v>
      </c>
      <c r="I78" s="67" t="inlineStr">
        <is>
          <t>Medium</t>
        </is>
      </c>
      <c r="J78" s="67" t="inlineStr">
        <is>
          <t>Easy</t>
        </is>
      </c>
    </row>
    <row r="79" ht="29" customHeight="1">
      <c r="A79" s="62" t="inlineStr">
        <is>
          <t>QC-023</t>
        </is>
      </c>
      <c r="B79" s="62" t="inlineStr">
        <is>
          <t>All</t>
        </is>
      </c>
      <c r="C79" s="62" t="inlineStr">
        <is>
          <t>47 alerts telling roughly eight distinct stories</t>
        </is>
      </c>
      <c r="D79" s="67" t="inlineStr">
        <is>
          <t>High</t>
        </is>
      </c>
      <c r="E79" s="67" t="inlineStr">
        <is>
          <t>No</t>
        </is>
      </c>
      <c r="F79" s="67" t="inlineStr">
        <is>
          <t>Open</t>
        </is>
      </c>
      <c r="G79" s="67" t="inlineStr">
        <is>
          <t>Backend / agent logic</t>
        </is>
      </c>
      <c r="H79" s="68" t="n">
        <v>46238</v>
      </c>
      <c r="I79" s="67" t="inlineStr">
        <is>
          <t>Medium</t>
        </is>
      </c>
      <c r="J79" s="67" t="inlineStr">
        <is>
          <t>Medium</t>
        </is>
      </c>
    </row>
    <row r="80" ht="29" customHeight="1">
      <c r="A80" s="62" t="inlineStr">
        <is>
          <t>QC-042</t>
        </is>
      </c>
      <c r="B80" s="62" t="inlineStr">
        <is>
          <t>All</t>
        </is>
      </c>
      <c r="C80" s="62" t="inlineStr">
        <is>
          <t>Starter prompts do not show the strongest part of the story</t>
        </is>
      </c>
      <c r="D80" s="67" t="inlineStr">
        <is>
          <t>Medium</t>
        </is>
      </c>
      <c r="E80" s="67" t="inlineStr">
        <is>
          <t>Yes</t>
        </is>
      </c>
      <c r="F80" s="67" t="inlineStr">
        <is>
          <t>Open</t>
        </is>
      </c>
      <c r="G80" s="67" t="inlineStr">
        <is>
          <t>Demo owner</t>
        </is>
      </c>
      <c r="H80" s="68" t="n">
        <v>46245</v>
      </c>
      <c r="I80" s="67" t="inlineStr">
        <is>
          <t>Medium</t>
        </is>
      </c>
      <c r="J80" s="67" t="inlineStr">
        <is>
          <t>Medium</t>
        </is>
      </c>
    </row>
    <row r="81" ht="29" customHeight="1">
      <c r="A81" s="62" t="inlineStr">
        <is>
          <t>QC-035</t>
        </is>
      </c>
      <c r="B81" s="62" t="inlineStr">
        <is>
          <t>All</t>
        </is>
      </c>
      <c r="C81" s="62" t="inlineStr">
        <is>
          <t>No chart states its period</t>
        </is>
      </c>
      <c r="D81" s="67" t="inlineStr">
        <is>
          <t>Medium</t>
        </is>
      </c>
      <c r="E81" s="67" t="inlineStr">
        <is>
          <t>Yes</t>
        </is>
      </c>
      <c r="F81" s="67" t="inlineStr">
        <is>
          <t>Open</t>
        </is>
      </c>
      <c r="G81" s="67" t="inlineStr">
        <is>
          <t>Frontend + backend</t>
        </is>
      </c>
      <c r="H81" s="68" t="n">
        <v>46245</v>
      </c>
      <c r="I81" s="67" t="inlineStr">
        <is>
          <t>Medium</t>
        </is>
      </c>
      <c r="J81" s="67" t="inlineStr">
        <is>
          <t>Difficult</t>
        </is>
      </c>
    </row>
    <row r="82" ht="29" customHeight="1">
      <c r="A82" s="62" t="inlineStr">
        <is>
          <t>QC-037</t>
        </is>
      </c>
      <c r="B82" s="62" t="inlineStr">
        <is>
          <t>Treasury</t>
        </is>
      </c>
      <c r="C82" s="62" t="inlineStr">
        <is>
          <t>The cash chart cannot answer why Week 5 is low</t>
        </is>
      </c>
      <c r="D82" s="67" t="inlineStr">
        <is>
          <t>Medium</t>
        </is>
      </c>
      <c r="E82" s="67" t="inlineStr">
        <is>
          <t>Yes</t>
        </is>
      </c>
      <c r="F82" s="67" t="inlineStr">
        <is>
          <t>Open</t>
        </is>
      </c>
      <c r="G82" s="67" t="inlineStr">
        <is>
          <t>Backend + frontend</t>
        </is>
      </c>
      <c r="H82" s="68" t="n">
        <v>46245</v>
      </c>
      <c r="I82" s="67" t="inlineStr">
        <is>
          <t>Medium</t>
        </is>
      </c>
      <c r="J82" s="67" t="inlineStr">
        <is>
          <t>Difficult</t>
        </is>
      </c>
    </row>
    <row r="83" ht="29" customHeight="1">
      <c r="A83" s="62" t="inlineStr">
        <is>
          <t>QC-053</t>
        </is>
      </c>
      <c r="B83" s="62" t="inlineStr">
        <is>
          <t>All</t>
        </is>
      </c>
      <c r="C83" s="62" t="inlineStr">
        <is>
          <t>Simulator has no scope selector</t>
        </is>
      </c>
      <c r="D83" s="67" t="inlineStr">
        <is>
          <t>High</t>
        </is>
      </c>
      <c r="E83" s="67" t="inlineStr">
        <is>
          <t>No</t>
        </is>
      </c>
      <c r="F83" s="67" t="inlineStr">
        <is>
          <t>Open</t>
        </is>
      </c>
      <c r="G83" s="67" t="inlineStr">
        <is>
          <t>Backend + frontend</t>
        </is>
      </c>
      <c r="H83" s="68" t="n">
        <v>46245</v>
      </c>
      <c r="I83" s="67" t="inlineStr">
        <is>
          <t>Medium</t>
        </is>
      </c>
      <c r="J83" s="67" t="inlineStr">
        <is>
          <t>Difficult</t>
        </is>
      </c>
    </row>
    <row r="84" ht="43.5" customHeight="1">
      <c r="A84" s="62" t="inlineStr">
        <is>
          <t>QC-013</t>
        </is>
      </c>
      <c r="B84" s="62" t="inlineStr">
        <is>
          <t>Leakage</t>
        </is>
      </c>
      <c r="C84" s="62" t="inlineStr">
        <is>
          <t>The bar labelled 'Current 95%' does not show the current position</t>
        </is>
      </c>
      <c r="D84" s="67" t="inlineStr">
        <is>
          <t>Medium</t>
        </is>
      </c>
      <c r="E84" s="67" t="inlineStr">
        <is>
          <t>No</t>
        </is>
      </c>
      <c r="F84" s="87" t="inlineStr">
        <is>
          <t>Fixed - awaiting retest</t>
        </is>
      </c>
      <c r="G84" s="67" t="inlineStr">
        <is>
          <t>Backend / agent logic</t>
        </is>
      </c>
      <c r="H84" s="68" t="n">
        <v>46245</v>
      </c>
      <c r="I84" s="67" t="inlineStr">
        <is>
          <t>Low</t>
        </is>
      </c>
      <c r="J84" s="67" t="inlineStr">
        <is>
          <t>Easy</t>
        </is>
      </c>
      <c r="K84" s="76" t="inlineStr">
        <is>
          <t>Fixed 30 Jul 2026 (commit 53daa2c). The bar is now labelled 'Current 95/90%' and reuses the Total protected card value (7,557.5) instead of recomputing it at 95/95 (7,577.5).</t>
        </is>
      </c>
    </row>
    <row r="85" ht="43.5" customHeight="1">
      <c r="A85" s="62" t="inlineStr">
        <is>
          <t>QC-027</t>
        </is>
      </c>
      <c r="B85" s="62" t="inlineStr">
        <is>
          <t>Finance</t>
        </is>
      </c>
      <c r="C85" s="62" t="inlineStr">
        <is>
          <t>One margin percentage rounds down where others round normally</t>
        </is>
      </c>
      <c r="D85" s="67" t="inlineStr">
        <is>
          <t>Medium</t>
        </is>
      </c>
      <c r="E85" s="67" t="inlineStr">
        <is>
          <t>No</t>
        </is>
      </c>
      <c r="F85" s="87" t="inlineStr">
        <is>
          <t>Fixed - awaiting retest</t>
        </is>
      </c>
      <c r="G85" s="67" t="inlineStr">
        <is>
          <t>Frontend</t>
        </is>
      </c>
      <c r="H85" s="68" t="n">
        <v>46245</v>
      </c>
      <c r="I85" s="67" t="inlineStr">
        <is>
          <t>Low</t>
        </is>
      </c>
      <c r="J85" s="67" t="inlineStr">
        <is>
          <t>Easy</t>
        </is>
      </c>
      <c r="K85" s="76" t="inlineStr">
        <is>
          <t>Fixed 30 Jul 2026 (commit f448e66). Python and IEEE round half to even, so round(36.25, 1) is 36.2. Added _round_half_up and routed _fmt and _pct through it. Product GM% is now 23.8 / 36.3 / 16.7.</t>
        </is>
      </c>
    </row>
    <row r="86" ht="29" customHeight="1">
      <c r="A86" s="62" t="inlineStr">
        <is>
          <t>QC-029</t>
        </is>
      </c>
      <c r="B86" s="62" t="inlineStr">
        <is>
          <t>Treasury</t>
        </is>
      </c>
      <c r="C86" s="62" t="inlineStr">
        <is>
          <t>Inconsistent number formats in one KPI row</t>
        </is>
      </c>
      <c r="D86" s="67" t="inlineStr">
        <is>
          <t>Medium</t>
        </is>
      </c>
      <c r="E86" s="67" t="inlineStr">
        <is>
          <t>No</t>
        </is>
      </c>
      <c r="F86" s="87" t="inlineStr">
        <is>
          <t>Fixed - awaiting retest</t>
        </is>
      </c>
      <c r="G86" s="67" t="inlineStr">
        <is>
          <t>Frontend</t>
        </is>
      </c>
      <c r="H86" s="68" t="n">
        <v>46245</v>
      </c>
      <c r="I86" s="67" t="inlineStr">
        <is>
          <t>Low</t>
        </is>
      </c>
      <c r="J86" s="67" t="inlineStr">
        <is>
          <t>Easy</t>
        </is>
      </c>
      <c r="K86" s="76" t="inlineStr">
        <is>
          <t>Fixed 30 Jul 2026 (commit f448e66). One USD scale across the KPI row: 3.3 M USD beside 2.0 M USD, instead of 3.3 M USD beside 2,000,000 USD which hid that 2.0 is less than 3.3.</t>
        </is>
      </c>
    </row>
    <row r="87" ht="29" customHeight="1">
      <c r="A87" s="62" t="inlineStr">
        <is>
          <t>QC-030</t>
        </is>
      </c>
      <c r="B87" s="62" t="inlineStr">
        <is>
          <t>Collection</t>
        </is>
      </c>
      <c r="C87" s="62" t="inlineStr">
        <is>
          <t>Action labels a two-customer balance as total overdue AR</t>
        </is>
      </c>
      <c r="D87" s="67" t="inlineStr">
        <is>
          <t>Medium</t>
        </is>
      </c>
      <c r="E87" s="67" t="inlineStr">
        <is>
          <t>No</t>
        </is>
      </c>
      <c r="F87" s="67" t="inlineStr">
        <is>
          <t>Open</t>
        </is>
      </c>
      <c r="G87" s="67" t="inlineStr">
        <is>
          <t>Backend / agent logic</t>
        </is>
      </c>
      <c r="H87" s="68" t="n">
        <v>46245</v>
      </c>
      <c r="I87" s="67" t="inlineStr">
        <is>
          <t>Low</t>
        </is>
      </c>
      <c r="J87" s="67" t="inlineStr">
        <is>
          <t>Easy</t>
        </is>
      </c>
    </row>
    <row r="88" ht="43.5" customHeight="1">
      <c r="A88" s="62" t="inlineStr">
        <is>
          <t>QC-031</t>
        </is>
      </c>
      <c r="B88" s="62" t="inlineStr">
        <is>
          <t>Leakage</t>
        </is>
      </c>
      <c r="C88" s="62" t="inlineStr">
        <is>
          <t>Action uses the annualised figure while the dashboard shows the cycle figure</t>
        </is>
      </c>
      <c r="D88" s="67" t="inlineStr">
        <is>
          <t>Medium</t>
        </is>
      </c>
      <c r="E88" s="67" t="inlineStr">
        <is>
          <t>No</t>
        </is>
      </c>
      <c r="F88" s="67" t="inlineStr">
        <is>
          <t>Open</t>
        </is>
      </c>
      <c r="G88" s="67" t="inlineStr">
        <is>
          <t>Backend / agent logic</t>
        </is>
      </c>
      <c r="H88" s="68" t="n">
        <v>46245</v>
      </c>
      <c r="I88" s="67" t="inlineStr">
        <is>
          <t>Low</t>
        </is>
      </c>
      <c r="J88" s="67" t="inlineStr">
        <is>
          <t>Easy</t>
        </is>
      </c>
    </row>
    <row r="89" ht="29" customHeight="1">
      <c r="A89" s="62" t="inlineStr">
        <is>
          <t>QC-032</t>
        </is>
      </c>
      <c r="B89" s="62" t="inlineStr">
        <is>
          <t>Leakage</t>
        </is>
      </c>
      <c r="C89" s="62" t="inlineStr">
        <is>
          <t>The same 900 mn appears under three different names</t>
        </is>
      </c>
      <c r="D89" s="67" t="inlineStr">
        <is>
          <t>Medium</t>
        </is>
      </c>
      <c r="E89" s="67" t="inlineStr">
        <is>
          <t>No</t>
        </is>
      </c>
      <c r="F89" s="67" t="inlineStr">
        <is>
          <t>Open</t>
        </is>
      </c>
      <c r="G89" s="67" t="inlineStr">
        <is>
          <t>Backend / agent logic</t>
        </is>
      </c>
      <c r="H89" s="68" t="n">
        <v>46245</v>
      </c>
      <c r="I89" s="67" t="inlineStr">
        <is>
          <t>Low</t>
        </is>
      </c>
      <c r="J89" s="67" t="inlineStr">
        <is>
          <t>Easy</t>
        </is>
      </c>
    </row>
    <row r="90" ht="29" customHeight="1">
      <c r="A90" s="62" t="inlineStr">
        <is>
          <t>QC-041</t>
        </is>
      </c>
      <c r="B90" s="62" t="inlineStr">
        <is>
          <t>Treasury</t>
        </is>
      </c>
      <c r="C90" s="62" t="inlineStr">
        <is>
          <t>Alert title names Week 5 but carries Week 6 data</t>
        </is>
      </c>
      <c r="D90" s="67" t="inlineStr">
        <is>
          <t>Medium</t>
        </is>
      </c>
      <c r="E90" s="67" t="inlineStr">
        <is>
          <t>No</t>
        </is>
      </c>
      <c r="F90" s="67" t="inlineStr">
        <is>
          <t>Open</t>
        </is>
      </c>
      <c r="G90" s="67" t="inlineStr">
        <is>
          <t>Backend / agent logic</t>
        </is>
      </c>
      <c r="H90" s="68" t="n">
        <v>46245</v>
      </c>
      <c r="I90" s="67" t="inlineStr">
        <is>
          <t>Low</t>
        </is>
      </c>
      <c r="J90" s="67" t="inlineStr">
        <is>
          <t>Easy</t>
        </is>
      </c>
    </row>
    <row r="91" ht="29" customHeight="1">
      <c r="A91" s="62" t="inlineStr">
        <is>
          <t>QC-026</t>
        </is>
      </c>
      <c r="B91" s="62" t="inlineStr">
        <is>
          <t>Collection</t>
        </is>
      </c>
      <c r="C91" s="62" t="inlineStr">
        <is>
          <t>Recovery rate ignores how old the debt is</t>
        </is>
      </c>
      <c r="D91" s="67" t="inlineStr">
        <is>
          <t>Medium</t>
        </is>
      </c>
      <c r="E91" s="67" t="inlineStr">
        <is>
          <t>No</t>
        </is>
      </c>
      <c r="F91" s="67" t="inlineStr">
        <is>
          <t>Open</t>
        </is>
      </c>
      <c r="G91" s="67" t="inlineStr">
        <is>
          <t>Backend / agent logic</t>
        </is>
      </c>
      <c r="H91" s="68" t="n">
        <v>46245</v>
      </c>
      <c r="I91" s="67" t="inlineStr">
        <is>
          <t>Low</t>
        </is>
      </c>
      <c r="J91" s="67" t="inlineStr">
        <is>
          <t>Medium</t>
        </is>
      </c>
    </row>
    <row r="92" ht="29" customHeight="1">
      <c r="A92" s="62" t="inlineStr">
        <is>
          <t>QC-028</t>
        </is>
      </c>
      <c r="B92" s="62" t="inlineStr">
        <is>
          <t>Collection</t>
        </is>
      </c>
      <c r="C92" s="62" t="inlineStr">
        <is>
          <t>DSO gauge shows 120% progress on a metric where lower is better</t>
        </is>
      </c>
      <c r="D92" s="67" t="inlineStr">
        <is>
          <t>Medium</t>
        </is>
      </c>
      <c r="E92" s="67" t="inlineStr">
        <is>
          <t>No</t>
        </is>
      </c>
      <c r="F92" s="87" t="inlineStr">
        <is>
          <t>Fixed - awaiting retest</t>
        </is>
      </c>
      <c r="G92" s="67" t="inlineStr">
        <is>
          <t>Frontend</t>
        </is>
      </c>
      <c r="H92" s="68" t="n">
        <v>46245</v>
      </c>
      <c r="I92" s="67" t="inlineStr">
        <is>
          <t>Low</t>
        </is>
      </c>
      <c r="J92" s="67" t="inlineStr">
        <is>
          <t>Medium</t>
        </is>
      </c>
      <c r="K92" s="76" t="inlineStr">
        <is>
          <t>Fixed 30 Jul 2026 (commit f448e66). Added a lower_is_better flag so enrichment inverts the ratio. DSO progress is now 0.8246 (47/57) instead of the clamped 1.2.</t>
        </is>
      </c>
    </row>
    <row r="93" ht="29" customHeight="1">
      <c r="A93" s="62" t="inlineStr">
        <is>
          <t>QC-034</t>
        </is>
      </c>
      <c r="B93" s="62" t="inlineStr">
        <is>
          <t>Treasury</t>
        </is>
      </c>
      <c r="C93" s="62" t="inlineStr">
        <is>
          <t>A zero bar next to a value bar reads as a rendering failure</t>
        </is>
      </c>
      <c r="D93" s="67" t="inlineStr">
        <is>
          <t>Medium</t>
        </is>
      </c>
      <c r="E93" s="67" t="inlineStr">
        <is>
          <t>No</t>
        </is>
      </c>
      <c r="F93" s="87" t="inlineStr">
        <is>
          <t>Fixed - awaiting retest</t>
        </is>
      </c>
      <c r="G93" s="67" t="inlineStr">
        <is>
          <t>Frontend</t>
        </is>
      </c>
      <c r="H93" s="68" t="n">
        <v>46245</v>
      </c>
      <c r="I93" s="67" t="inlineStr">
        <is>
          <t>Low</t>
        </is>
      </c>
      <c r="J93" s="67" t="inlineStr">
        <is>
          <t>Medium</t>
        </is>
      </c>
      <c r="K93" s="76" t="inlineStr">
        <is>
          <t>Fixed 30 Jul 2026 (commit f448e66). The zero 'Base' bar is gone. The chart now compares Do nothing 1,777.05 against Hedge 2.0M 700.05 - both non-zero, and the first equals the FX loss card.</t>
        </is>
      </c>
    </row>
    <row r="94" ht="29" customHeight="1">
      <c r="A94" s="62" t="inlineStr">
        <is>
          <t>QC-036</t>
        </is>
      </c>
      <c r="B94" s="62" t="inlineStr">
        <is>
          <t>Finance</t>
        </is>
      </c>
      <c r="C94" s="62" t="inlineStr">
        <is>
          <t>The side chart duplicates the main chart exactly</t>
        </is>
      </c>
      <c r="D94" s="67" t="inlineStr">
        <is>
          <t>Medium</t>
        </is>
      </c>
      <c r="E94" s="67" t="inlineStr">
        <is>
          <t>No</t>
        </is>
      </c>
      <c r="F94" s="87" t="inlineStr">
        <is>
          <t>Fixed - awaiting retest</t>
        </is>
      </c>
      <c r="G94" s="67" t="inlineStr">
        <is>
          <t>Frontend</t>
        </is>
      </c>
      <c r="H94" s="68" t="n">
        <v>46245</v>
      </c>
      <c r="I94" s="67" t="inlineStr">
        <is>
          <t>Low</t>
        </is>
      </c>
      <c r="J94" s="67" t="inlineStr">
        <is>
          <t>Medium</t>
        </is>
      </c>
      <c r="K94" s="76" t="inlineStr">
        <is>
          <t>Fixed 30 Jul 2026 (commit f448e66). Finance side:top was byte-identical to view:product. It now shows the gross margin pool in IDR (4,550 / 4,930 / 2,300 = 11,780) rather than repeating the rate.</t>
        </is>
      </c>
    </row>
    <row r="95" ht="43.5" customHeight="1">
      <c r="A95" s="62" t="inlineStr">
        <is>
          <t>QC-038</t>
        </is>
      </c>
      <c r="B95" s="62" t="inlineStr">
        <is>
          <t>Collection</t>
        </is>
      </c>
      <c r="C95" s="62" t="inlineStr">
        <is>
          <t>Worklist bucket column attributes a whole balance to the oldest bucket</t>
        </is>
      </c>
      <c r="D95" s="67" t="inlineStr">
        <is>
          <t>Low</t>
        </is>
      </c>
      <c r="E95" s="67" t="inlineStr">
        <is>
          <t>No</t>
        </is>
      </c>
      <c r="F95" s="67" t="inlineStr">
        <is>
          <t>Open</t>
        </is>
      </c>
      <c r="G95" s="67" t="inlineStr">
        <is>
          <t>Frontend</t>
        </is>
      </c>
      <c r="H95" s="68" t="n">
        <v>46252</v>
      </c>
      <c r="I95" s="67" t="inlineStr">
        <is>
          <t>Low</t>
        </is>
      </c>
      <c r="J95" s="67" t="inlineStr">
        <is>
          <t>Medium</t>
        </is>
      </c>
    </row>
    <row r="96" ht="29" customHeight="1">
      <c r="A96" s="62" t="inlineStr">
        <is>
          <t>QC-046</t>
        </is>
      </c>
      <c r="B96" s="62" t="inlineStr">
        <is>
          <t>Leakage</t>
        </is>
      </c>
      <c r="C96" s="62" t="inlineStr">
        <is>
          <t>Vendor risk score ignores amount and severity</t>
        </is>
      </c>
      <c r="D96" s="67" t="inlineStr">
        <is>
          <t>Medium</t>
        </is>
      </c>
      <c r="E96" s="67" t="inlineStr">
        <is>
          <t>No</t>
        </is>
      </c>
      <c r="F96" s="87" t="inlineStr">
        <is>
          <t>Fixed - awaiting retest</t>
        </is>
      </c>
      <c r="G96" s="67" t="inlineStr">
        <is>
          <t>Backend / agent logic</t>
        </is>
      </c>
      <c r="H96" s="68" t="n">
        <v>46245</v>
      </c>
      <c r="I96" s="67" t="inlineStr">
        <is>
          <t>Low</t>
        </is>
      </c>
      <c r="J96" s="67" t="inlineStr">
        <is>
          <t>Medium</t>
        </is>
      </c>
      <c r="K96" s="76" t="inlineStr">
        <is>
          <t>Fixed 30 Jul 2026 (commit f448e66). Score = 50% at-risk amount + 35% worst severity + 15% flag count, relative to the worst vendor in the batch. Live batch 17: Osaka 100, Shenzhen 64, Bahan Baku 56, Taipei 33.</t>
        </is>
      </c>
    </row>
    <row r="97" ht="43.5" customHeight="1">
      <c r="A97" s="62" t="inlineStr">
        <is>
          <t>QC-033</t>
        </is>
      </c>
      <c r="B97" s="62" t="inlineStr">
        <is>
          <t>Collection</t>
        </is>
      </c>
      <c r="C97" s="62" t="inlineStr">
        <is>
          <t>Two charts on the same screen order the same pair in opposite directions</t>
        </is>
      </c>
      <c r="D97" s="67" t="inlineStr">
        <is>
          <t>Medium</t>
        </is>
      </c>
      <c r="E97" s="67" t="inlineStr">
        <is>
          <t>No</t>
        </is>
      </c>
      <c r="F97" s="87" t="inlineStr">
        <is>
          <t>Fixed - awaiting retest</t>
        </is>
      </c>
      <c r="G97" s="67" t="inlineStr">
        <is>
          <t>Frontend</t>
        </is>
      </c>
      <c r="H97" s="68" t="n">
        <v>46245</v>
      </c>
      <c r="I97" s="67" t="inlineStr">
        <is>
          <t>Low</t>
        </is>
      </c>
      <c r="J97" s="67" t="inlineStr">
        <is>
          <t>Difficult</t>
        </is>
      </c>
      <c r="K97" s="76" t="inlineStr">
        <is>
          <t>Fixed 30 Jul 2026 (commit f448e66). Both charts now order [Now, Target]. Aligning them turned the pair into exact duplicates, so side:bottom was changed to Overdue vs expected recovery.</t>
        </is>
      </c>
    </row>
    <row r="98" ht="29" customHeight="1">
      <c r="A98" s="62" t="inlineStr">
        <is>
          <t>QC-048</t>
        </is>
      </c>
      <c r="B98" s="62" t="inlineStr">
        <is>
          <t>All</t>
        </is>
      </c>
      <c r="C98" s="62" t="inlineStr">
        <is>
          <t>The mockup and the deployed app disagree on the numbers</t>
        </is>
      </c>
      <c r="D98" s="67" t="inlineStr">
        <is>
          <t>Medium</t>
        </is>
      </c>
      <c r="E98" s="67" t="inlineStr">
        <is>
          <t>No</t>
        </is>
      </c>
      <c r="F98" s="67" t="inlineStr">
        <is>
          <t>Open</t>
        </is>
      </c>
      <c r="G98" s="67" t="inlineStr">
        <is>
          <t>Demo owner + Backend</t>
        </is>
      </c>
      <c r="H98" s="68" t="n">
        <v>46245</v>
      </c>
      <c r="I98" s="67" t="inlineStr">
        <is>
          <t>Low</t>
        </is>
      </c>
      <c r="J98" s="67" t="inlineStr">
        <is>
          <t>Difficult</t>
        </is>
      </c>
    </row>
    <row r="99" ht="29" customHeight="1">
      <c r="A99" s="62" t="inlineStr">
        <is>
          <t>QC-060</t>
        </is>
      </c>
      <c r="B99" s="62" t="inlineStr">
        <is>
          <t>All</t>
        </is>
      </c>
      <c r="C99" s="62" t="inlineStr">
        <is>
          <t>No exact-parameter calculation flow</t>
        </is>
      </c>
      <c r="D99" s="67" t="inlineStr">
        <is>
          <t>Medium</t>
        </is>
      </c>
      <c r="E99" s="67" t="inlineStr">
        <is>
          <t>No</t>
        </is>
      </c>
      <c r="F99" s="67" t="inlineStr">
        <is>
          <t>Open</t>
        </is>
      </c>
      <c r="G99" s="67" t="inlineStr">
        <is>
          <t>Backend + frontend</t>
        </is>
      </c>
      <c r="H99" s="68" t="n">
        <v>46245</v>
      </c>
      <c r="I99" s="67" t="inlineStr">
        <is>
          <t>Low</t>
        </is>
      </c>
      <c r="J99" s="67" t="inlineStr">
        <is>
          <t>Difficult</t>
        </is>
      </c>
    </row>
    <row r="100" ht="29" customHeight="1">
      <c r="A100" s="62" t="inlineStr">
        <is>
          <t>QC-061</t>
        </is>
      </c>
      <c r="B100" s="62" t="inlineStr">
        <is>
          <t>All</t>
        </is>
      </c>
      <c r="C100" s="62" t="inlineStr">
        <is>
          <t>Next best action cards are not on the dashboard</t>
        </is>
      </c>
      <c r="D100" s="67" t="inlineStr">
        <is>
          <t>Medium</t>
        </is>
      </c>
      <c r="E100" s="67" t="inlineStr">
        <is>
          <t>No</t>
        </is>
      </c>
      <c r="F100" s="67" t="inlineStr">
        <is>
          <t>Open</t>
        </is>
      </c>
      <c r="G100" s="67" t="inlineStr">
        <is>
          <t>Frontend</t>
        </is>
      </c>
      <c r="H100" s="68" t="n">
        <v>46245</v>
      </c>
      <c r="I100" s="67" t="inlineStr">
        <is>
          <t>Low</t>
        </is>
      </c>
      <c r="J100" s="67" t="inlineStr">
        <is>
          <t>Difficult</t>
        </is>
      </c>
    </row>
    <row r="101" ht="29" customHeight="1">
      <c r="A101" s="64" t="inlineStr">
        <is>
          <t>QC-062</t>
        </is>
      </c>
      <c r="B101" s="64" t="inlineStr">
        <is>
          <t>All</t>
        </is>
      </c>
      <c r="C101" s="64" t="inlineStr">
        <is>
          <t>Chat cannot be verified to render charts and tables</t>
        </is>
      </c>
      <c r="D101" s="69" t="inlineStr">
        <is>
          <t>Medium</t>
        </is>
      </c>
      <c r="E101" s="69" t="inlineStr">
        <is>
          <t>No</t>
        </is>
      </c>
      <c r="F101" s="69" t="inlineStr">
        <is>
          <t>Open</t>
        </is>
      </c>
      <c r="G101" s="69" t="inlineStr">
        <is>
          <t>Demo owner</t>
        </is>
      </c>
      <c r="H101" s="70" t="n">
        <v>46238</v>
      </c>
      <c r="I101" s="69" t="inlineStr">
        <is>
          <t>Low</t>
        </is>
      </c>
      <c r="J101" s="69" t="inlineStr">
        <is>
          <t>Difficult</t>
        </is>
      </c>
    </row>
    <row r="102">
      <c r="A102" s="51" t="n"/>
      <c r="B102" s="51" t="n"/>
      <c r="C102" s="51" t="n"/>
      <c r="D102" s="51" t="n"/>
      <c r="E102" s="51" t="n"/>
      <c r="F102" s="51" t="n"/>
      <c r="G102" s="51" t="n"/>
      <c r="H102" s="51" t="n"/>
      <c r="I102" s="51" t="n"/>
      <c r="J102" s="51" t="n"/>
    </row>
    <row r="103">
      <c r="A103" s="51" t="n"/>
      <c r="B103" s="51" t="n"/>
      <c r="C103" s="51" t="n"/>
      <c r="D103" s="51" t="n"/>
      <c r="E103" s="51" t="n"/>
      <c r="F103" s="51" t="n"/>
      <c r="G103" s="51" t="n"/>
      <c r="H103" s="51" t="n"/>
      <c r="I103" s="51" t="n"/>
      <c r="J103" s="51" t="n"/>
    </row>
    <row r="104">
      <c r="A104" s="56" t="inlineStr">
        <is>
          <t>MANUAL TESTS NOT YET PASSED / COMPLETED</t>
        </is>
      </c>
    </row>
    <row r="105">
      <c r="A105" s="51" t="n"/>
      <c r="B105" s="51" t="n"/>
      <c r="C105" s="51" t="n"/>
      <c r="D105" s="51" t="n"/>
      <c r="E105" s="51" t="n"/>
      <c r="F105" s="51" t="n"/>
      <c r="G105" s="51" t="n"/>
      <c r="H105" s="51" t="n"/>
      <c r="I105" s="51" t="n"/>
      <c r="J105" s="51" t="n"/>
    </row>
    <row r="106">
      <c r="A106" s="57" t="inlineStr">
        <is>
          <t>ID</t>
        </is>
      </c>
      <c r="B106" s="57" t="inlineStr">
        <is>
          <t>Area</t>
        </is>
      </c>
      <c r="C106" s="57" t="inlineStr">
        <is>
          <t>Agent</t>
        </is>
      </c>
      <c r="D106" s="57" t="inlineStr">
        <is>
          <t>Test</t>
        </is>
      </c>
      <c r="E106" s="57" t="inlineStr">
        <is>
          <t>Test priority</t>
        </is>
      </c>
      <c r="F106" s="57" t="inlineStr">
        <is>
          <t>Result</t>
        </is>
      </c>
      <c r="G106" s="57" t="inlineStr">
        <is>
          <t>Defect ID</t>
        </is>
      </c>
      <c r="H106" s="57" t="inlineStr">
        <is>
          <t>Notes</t>
        </is>
      </c>
      <c r="I106" s="57" t="inlineStr">
        <is>
          <t>Priority</t>
        </is>
      </c>
      <c r="J106" s="57" t="inlineStr">
        <is>
          <t>Difficulty</t>
        </is>
      </c>
    </row>
    <row r="107" ht="58" customHeight="1">
      <c r="A107" s="62" t="inlineStr">
        <is>
          <t>MT-001</t>
        </is>
      </c>
      <c r="B107" s="62" t="inlineStr">
        <is>
          <t>Navigation</t>
        </is>
      </c>
      <c r="C107" s="62" t="inlineStr">
        <is>
          <t>All</t>
        </is>
      </c>
      <c r="D107" s="62" t="inlineStr">
        <is>
          <t>Agent switcher</t>
        </is>
      </c>
      <c r="E107" s="62" t="inlineStr">
        <is>
          <t>Critical</t>
        </is>
      </c>
      <c r="F107" s="62" t="inlineStr">
        <is>
          <t>Partial</t>
        </is>
      </c>
      <c r="G107" s="62" t="n"/>
      <c r="H107" s="62" t="inlineStr">
        <is>
          <t>Some charts are still blank, especially in Leakage.</t>
        </is>
      </c>
      <c r="I107" s="62" t="inlineStr">
        <is>
          <t>High</t>
        </is>
      </c>
      <c r="J107" s="62" t="inlineStr">
        <is>
          <t>Easy</t>
        </is>
      </c>
    </row>
    <row r="108" ht="58" customHeight="1">
      <c r="A108" s="62" t="inlineStr">
        <is>
          <t>MT-002</t>
        </is>
      </c>
      <c r="B108" s="62" t="inlineStr">
        <is>
          <t>Navigation</t>
        </is>
      </c>
      <c r="C108" s="62" t="inlineStr">
        <is>
          <t>All</t>
        </is>
      </c>
      <c r="D108" s="62" t="inlineStr">
        <is>
          <t>View tabs</t>
        </is>
      </c>
      <c r="E108" s="62" t="inlineStr">
        <is>
          <t>Critical</t>
        </is>
      </c>
      <c r="F108" s="62" t="inlineStr">
        <is>
          <t>Partial</t>
        </is>
      </c>
      <c r="G108" s="62" t="n"/>
      <c r="H108" s="62" t="inlineStr">
        <is>
          <t>Some charts are still blank, especially in Leakage.</t>
        </is>
      </c>
      <c r="I108" s="62" t="inlineStr">
        <is>
          <t>High</t>
        </is>
      </c>
      <c r="J108" s="62" t="inlineStr">
        <is>
          <t>Easy</t>
        </is>
      </c>
    </row>
    <row r="109">
      <c r="A109" s="62" t="inlineStr">
        <is>
          <t>MT-004</t>
        </is>
      </c>
      <c r="B109" s="62" t="inlineStr">
        <is>
          <t>Buttons</t>
        </is>
      </c>
      <c r="C109" s="62" t="inlineStr">
        <is>
          <t>All</t>
        </is>
      </c>
      <c r="D109" s="62" t="inlineStr">
        <is>
          <t>KPI tile click</t>
        </is>
      </c>
      <c r="E109" s="62" t="inlineStr">
        <is>
          <t>High</t>
        </is>
      </c>
      <c r="F109" s="62" t="inlineStr">
        <is>
          <t>Not run</t>
        </is>
      </c>
      <c r="G109" s="62" t="n"/>
      <c r="H109" s="62" t="n"/>
      <c r="I109" s="62" t="inlineStr">
        <is>
          <t>Medium</t>
        </is>
      </c>
      <c r="J109" s="62" t="inlineStr">
        <is>
          <t>Easy</t>
        </is>
      </c>
    </row>
    <row r="110" ht="29" customHeight="1">
      <c r="A110" s="62" t="inlineStr">
        <is>
          <t>MT-005</t>
        </is>
      </c>
      <c r="B110" s="62" t="inlineStr">
        <is>
          <t>Buttons</t>
        </is>
      </c>
      <c r="C110" s="62" t="inlineStr">
        <is>
          <t>All</t>
        </is>
      </c>
      <c r="D110" s="62" t="inlineStr">
        <is>
          <t>Explain this KPI</t>
        </is>
      </c>
      <c r="E110" s="62" t="inlineStr">
        <is>
          <t>High</t>
        </is>
      </c>
      <c r="F110" s="62" t="inlineStr">
        <is>
          <t>Not run</t>
        </is>
      </c>
      <c r="G110" s="62" t="n"/>
      <c r="H110" s="62" t="n"/>
      <c r="I110" s="62" t="inlineStr">
        <is>
          <t>Medium</t>
        </is>
      </c>
      <c r="J110" s="62" t="inlineStr">
        <is>
          <t>Easy</t>
        </is>
      </c>
    </row>
    <row r="111" ht="29" customHeight="1">
      <c r="A111" s="62" t="inlineStr">
        <is>
          <t>MT-010</t>
        </is>
      </c>
      <c r="B111" s="62" t="inlineStr">
        <is>
          <t>Simulator</t>
        </is>
      </c>
      <c r="C111" s="62" t="inlineStr">
        <is>
          <t>Collection</t>
        </is>
      </c>
      <c r="D111" s="62" t="inlineStr">
        <is>
          <t>Maximum boundary</t>
        </is>
      </c>
      <c r="E111" s="62" t="inlineStr">
        <is>
          <t>High</t>
        </is>
      </c>
      <c r="F111" s="62" t="inlineStr">
        <is>
          <t>Failed</t>
        </is>
      </c>
      <c r="G111" s="62" t="n"/>
      <c r="H111" s="62" t="inlineStr">
        <is>
          <t>Observed DSO at 53.5.</t>
        </is>
      </c>
      <c r="I111" s="62" t="inlineStr">
        <is>
          <t>High</t>
        </is>
      </c>
      <c r="J111" s="62" t="inlineStr">
        <is>
          <t>Easy</t>
        </is>
      </c>
    </row>
    <row r="112" ht="43.5" customHeight="1">
      <c r="A112" s="62" t="inlineStr">
        <is>
          <t>MT-014</t>
        </is>
      </c>
      <c r="B112" s="62" t="inlineStr">
        <is>
          <t>Actions</t>
        </is>
      </c>
      <c r="C112" s="62" t="inlineStr">
        <is>
          <t>All</t>
        </is>
      </c>
      <c r="D112" s="62" t="inlineStr">
        <is>
          <t>Approve</t>
        </is>
      </c>
      <c r="E112" s="62" t="inlineStr">
        <is>
          <t>Critical</t>
        </is>
      </c>
      <c r="F112" s="62" t="inlineStr">
        <is>
          <t>Partial</t>
        </is>
      </c>
      <c r="G112" s="62" t="n"/>
      <c r="H112" s="62" t="inlineStr">
        <is>
          <t>The action cannot yet be cancelled.</t>
        </is>
      </c>
      <c r="I112" s="62" t="inlineStr">
        <is>
          <t>High</t>
        </is>
      </c>
      <c r="J112" s="62" t="inlineStr">
        <is>
          <t>Medium</t>
        </is>
      </c>
    </row>
    <row r="113" ht="72.5" customHeight="1">
      <c r="A113" s="62" t="inlineStr">
        <is>
          <t>MT-015</t>
        </is>
      </c>
      <c r="B113" s="62" t="inlineStr">
        <is>
          <t>Actions</t>
        </is>
      </c>
      <c r="C113" s="62" t="inlineStr">
        <is>
          <t>All</t>
        </is>
      </c>
      <c r="D113" s="62" t="inlineStr">
        <is>
          <t>Simulate</t>
        </is>
      </c>
      <c r="E113" s="62" t="inlineStr">
        <is>
          <t>Critical</t>
        </is>
      </c>
      <c r="F113" s="62" t="inlineStr">
        <is>
          <t>Partial</t>
        </is>
      </c>
      <c r="G113" s="62" t="n"/>
      <c r="H113" s="62" t="inlineStr">
        <is>
          <t>Agent Action has not yet affected Action History.</t>
        </is>
      </c>
      <c r="I113" s="62" t="inlineStr">
        <is>
          <t>High</t>
        </is>
      </c>
      <c r="J113" s="62" t="inlineStr">
        <is>
          <t>Medium</t>
        </is>
      </c>
    </row>
    <row r="114" ht="43.5" customHeight="1">
      <c r="A114" s="62" t="inlineStr">
        <is>
          <t>MT-016</t>
        </is>
      </c>
      <c r="B114" s="62" t="inlineStr">
        <is>
          <t>Actions</t>
        </is>
      </c>
      <c r="C114" s="62" t="inlineStr">
        <is>
          <t>All</t>
        </is>
      </c>
      <c r="D114" s="62" t="inlineStr">
        <is>
          <t>Routing</t>
        </is>
      </c>
      <c r="E114" s="62" t="inlineStr">
        <is>
          <t>Critical</t>
        </is>
      </c>
      <c r="F114" s="62" t="inlineStr">
        <is>
          <t>Not run</t>
        </is>
      </c>
      <c r="G114" s="62" t="n"/>
      <c r="H114" s="62" t="inlineStr">
        <is>
          <t>Not attempted yet.</t>
        </is>
      </c>
      <c r="I114" s="62" t="inlineStr">
        <is>
          <t>High</t>
        </is>
      </c>
      <c r="J114" s="62" t="inlineStr">
        <is>
          <t>Medium</t>
        </is>
      </c>
    </row>
    <row r="115" ht="72.5" customHeight="1">
      <c r="A115" s="62" t="inlineStr">
        <is>
          <t>MT-018</t>
        </is>
      </c>
      <c r="B115" s="62" t="inlineStr">
        <is>
          <t>Chat</t>
        </is>
      </c>
      <c r="C115" s="62" t="inlineStr">
        <is>
          <t>All</t>
        </is>
      </c>
      <c r="D115" s="62" t="inlineStr">
        <is>
          <t>Cross-agent handoff</t>
        </is>
      </c>
      <c r="E115" s="62" t="inlineStr">
        <is>
          <t>Critical</t>
        </is>
      </c>
      <c r="F115" s="62" t="inlineStr">
        <is>
          <t>Failed</t>
        </is>
      </c>
      <c r="G115" s="62" t="n"/>
      <c r="H115" s="62" t="inlineStr">
        <is>
          <t>Muncul error "Object of type Decimal is not JSON serializable"</t>
        </is>
      </c>
      <c r="I115" s="62" t="inlineStr">
        <is>
          <t>High</t>
        </is>
      </c>
      <c r="J115" s="62" t="inlineStr">
        <is>
          <t>Medium</t>
        </is>
      </c>
    </row>
    <row r="116" ht="29" customHeight="1">
      <c r="A116" s="62" t="inlineStr">
        <is>
          <t>MT-023</t>
        </is>
      </c>
      <c r="B116" s="62" t="inlineStr">
        <is>
          <t>Chat</t>
        </is>
      </c>
      <c r="C116" s="62" t="inlineStr">
        <is>
          <t>All</t>
        </is>
      </c>
      <c r="D116" s="62" t="inlineStr">
        <is>
          <t>Response speed</t>
        </is>
      </c>
      <c r="E116" s="62" t="inlineStr">
        <is>
          <t>High</t>
        </is>
      </c>
      <c r="F116" s="62" t="inlineStr">
        <is>
          <t>Blocked</t>
        </is>
      </c>
      <c r="G116" s="62" t="n"/>
      <c r="H116" s="62" t="inlineStr">
        <is>
          <t>Response is still slow.</t>
        </is>
      </c>
      <c r="I116" s="62" t="inlineStr">
        <is>
          <t>High</t>
        </is>
      </c>
      <c r="J116" s="62" t="inlineStr">
        <is>
          <t>Medium</t>
        </is>
      </c>
    </row>
    <row r="117" ht="72.5" customHeight="1">
      <c r="A117" s="62" t="inlineStr">
        <is>
          <t>MT-025</t>
        </is>
      </c>
      <c r="B117" s="62" t="inlineStr">
        <is>
          <t>Data</t>
        </is>
      </c>
      <c r="C117" s="62" t="inlineStr">
        <is>
          <t>All</t>
        </is>
      </c>
      <c r="D117" s="62" t="inlineStr">
        <is>
          <t>Export</t>
        </is>
      </c>
      <c r="E117" s="62" t="inlineStr">
        <is>
          <t>Medium</t>
        </is>
      </c>
      <c r="F117" s="62" t="inlineStr">
        <is>
          <t>Not run</t>
        </is>
      </c>
      <c r="G117" s="62" t="n"/>
      <c r="H117" s="62" t="inlineStr">
        <is>
          <t>Export and download features are not available yet.</t>
        </is>
      </c>
      <c r="I117" s="62" t="inlineStr">
        <is>
          <t>Medium</t>
        </is>
      </c>
      <c r="J117" s="62" t="inlineStr">
        <is>
          <t>Easy</t>
        </is>
      </c>
    </row>
    <row r="118" ht="43.5" customHeight="1">
      <c r="A118" s="62" t="inlineStr">
        <is>
          <t>MT-030</t>
        </is>
      </c>
      <c r="B118" s="62" t="inlineStr">
        <is>
          <t>Stability</t>
        </is>
      </c>
      <c r="C118" s="62" t="inlineStr">
        <is>
          <t>All</t>
        </is>
      </c>
      <c r="D118" s="62" t="inlineStr">
        <is>
          <t>Rapid clicking</t>
        </is>
      </c>
      <c r="E118" s="62" t="inlineStr">
        <is>
          <t>High</t>
        </is>
      </c>
      <c r="F118" s="62" t="inlineStr">
        <is>
          <t>Partial</t>
        </is>
      </c>
      <c r="G118" s="62" t="n"/>
      <c r="H118" s="62" t="inlineStr">
        <is>
          <t>Loading delays remain.</t>
        </is>
      </c>
      <c r="I118" s="62" t="inlineStr">
        <is>
          <t>Medium</t>
        </is>
      </c>
      <c r="J118" s="62" t="inlineStr">
        <is>
          <t>Medium</t>
        </is>
      </c>
    </row>
    <row r="119" ht="43.5" customHeight="1">
      <c r="A119" s="64" t="inlineStr">
        <is>
          <t>MT-031</t>
        </is>
      </c>
      <c r="B119" s="64" t="inlineStr">
        <is>
          <t>Stability</t>
        </is>
      </c>
      <c r="C119" s="64" t="inlineStr">
        <is>
          <t>All</t>
        </is>
      </c>
      <c r="D119" s="64" t="inlineStr">
        <is>
          <t>Full dress rehearsal</t>
        </is>
      </c>
      <c r="E119" s="64" t="inlineStr">
        <is>
          <t>Critical</t>
        </is>
      </c>
      <c r="F119" s="64" t="inlineStr">
        <is>
          <t>Not run</t>
        </is>
      </c>
      <c r="G119" s="64" t="n"/>
      <c r="H119" s="64" t="inlineStr">
        <is>
          <t>Waiting for the final scenario.</t>
        </is>
      </c>
      <c r="I119" s="64" t="inlineStr">
        <is>
          <t>High</t>
        </is>
      </c>
      <c r="J119" s="64" t="inlineStr">
        <is>
          <t>Medium</t>
        </is>
      </c>
    </row>
  </sheetData>
  <mergeCells count="19">
    <mergeCell ref="G8:H8"/>
    <mergeCell ref="G32:J34"/>
    <mergeCell ref="E8:F8"/>
    <mergeCell ref="G31:J31"/>
    <mergeCell ref="A4:J6"/>
    <mergeCell ref="A30:J30"/>
    <mergeCell ref="A9:B10"/>
    <mergeCell ref="G9:H10"/>
    <mergeCell ref="I9:J10"/>
    <mergeCell ref="A1:J1"/>
    <mergeCell ref="I8:J8"/>
    <mergeCell ref="A8:B8"/>
    <mergeCell ref="C8:D8"/>
    <mergeCell ref="A37:J37"/>
    <mergeCell ref="A12:J12"/>
    <mergeCell ref="A2:J2"/>
    <mergeCell ref="A104:J104"/>
    <mergeCell ref="C9:D10"/>
    <mergeCell ref="E9:F10"/>
  </mergeCells>
  <conditionalFormatting sqref="C14:D27">
    <cfRule type="cellIs" priority="16" operator="equal" dxfId="1">
      <formula>"High"</formula>
    </cfRule>
    <cfRule type="cellIs" priority="17" operator="equal" dxfId="3">
      <formula>"Medium"</formula>
    </cfRule>
    <cfRule type="cellIs" priority="18" operator="equal" dxfId="0">
      <formula>"Low"</formula>
    </cfRule>
    <cfRule type="cellIs" priority="19" operator="equal" dxfId="1">
      <formula>"Difficult"</formula>
    </cfRule>
    <cfRule type="cellIs" priority="20" operator="equal" dxfId="0">
      <formula>"Easy"</formula>
    </cfRule>
  </conditionalFormatting>
  <conditionalFormatting sqref="I40:J101">
    <cfRule type="cellIs" priority="21" operator="equal" dxfId="1">
      <formula>"High"</formula>
    </cfRule>
    <cfRule type="cellIs" priority="22" operator="equal" dxfId="3">
      <formula>"Medium"</formula>
    </cfRule>
    <cfRule type="cellIs" priority="23" operator="equal" dxfId="0">
      <formula>"Low"</formula>
    </cfRule>
    <cfRule type="cellIs" priority="24" operator="equal" dxfId="1">
      <formula>"Difficult"</formula>
    </cfRule>
    <cfRule type="cellIs" priority="25" operator="equal" dxfId="0">
      <formula>"Easy"</formula>
    </cfRule>
  </conditionalFormatting>
  <conditionalFormatting sqref="I107:J119">
    <cfRule type="cellIs" priority="26" operator="equal" dxfId="1">
      <formula>"High"</formula>
    </cfRule>
    <cfRule type="cellIs" priority="27" operator="equal" dxfId="3">
      <formula>"Medium"</formula>
    </cfRule>
    <cfRule type="cellIs" priority="28" operator="equal" dxfId="0">
      <formula>"Low"</formula>
    </cfRule>
    <cfRule type="cellIs" priority="29" operator="equal" dxfId="1">
      <formula>"Difficult"</formula>
    </cfRule>
    <cfRule type="cellIs" priority="30" operator="equal" dxfId="0">
      <formula>"Easy"</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2026-07-28T08:07:51Z</dcterms:created>
  <dcterms:modified xmlns:dcterms="http://purl.org/dc/terms/" xmlns:xsi="http://www.w3.org/2001/XMLSchema-instance" xsi:type="dcterms:W3CDTF">2026-07-30T07:08:02Z</dcterms:modified>
  <cp:lastModifiedBy>Muhammad A Sena</cp:lastModifiedBy>
  <cp:revision>7</cp:revision>
</cp:coreProperties>
</file>