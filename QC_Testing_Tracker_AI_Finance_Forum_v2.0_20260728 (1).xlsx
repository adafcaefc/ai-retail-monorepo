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U129YP\Downloads\"/>
    </mc:Choice>
  </mc:AlternateContent>
  <xr:revisionPtr revIDLastSave="0" documentId="13_ncr:1_{6E1BEA9A-C53D-4A13-87AC-925C1B2A44E8}" xr6:coauthVersionLast="47" xr6:coauthVersionMax="47" xr10:uidLastSave="{00000000-0000-0000-0000-000000000000}"/>
  <bookViews>
    <workbookView xWindow="-110" yWindow="-110" windowWidth="19420" windowHeight="11500" tabRatio="500" firstSheet="12" activeTab="12" xr2:uid="{00000000-000D-0000-FFFF-FFFF00000000}"/>
  </bookViews>
  <sheets>
    <sheet name="00_Summary" sheetId="1" r:id="rId1"/>
    <sheet name="0A_Cari_Cepat" sheetId="2" r:id="rId2"/>
    <sheet name="00B_Panduan_Bahasa" sheetId="3" state="hidden" r:id="rId3"/>
    <sheet name="01_Findings" sheetId="4" state="hidden" r:id="rId4"/>
    <sheet name="01B_Findings_ID" sheetId="5" r:id="rId5"/>
    <sheet name="02_Manual_Test_Checklist" sheetId="6" state="hidden" r:id="rId6"/>
    <sheet name="02B_Manual_Test_Checklist_ID" sheetId="7" r:id="rId7"/>
    <sheet name="03_Formula_Checks" sheetId="8" r:id="rId8"/>
    <sheet name="04_Dataset_Requirements" sheetId="9" r:id="rId9"/>
    <sheet name="05_Filter_Requirements" sheetId="10" r:id="rId10"/>
    <sheet name="06_Demo_Readiness_Gate" sheetId="11" state="hidden" r:id="rId11"/>
    <sheet name="06B_Demo_Readiness_Gate_ID" sheetId="12" r:id="rId12"/>
    <sheet name="07_To_Do_List" sheetId="13" r:id="rId13"/>
  </sheets>
  <definedNames>
    <definedName name="_xlnm._FilterDatabase" localSheetId="3" hidden="1">'01_Findings'!$A$4:$Q$66</definedName>
    <definedName name="_xlnm._FilterDatabase" localSheetId="4" hidden="1">'01B_Findings_ID'!$A$4:$Q$66</definedName>
    <definedName name="_xlnm._FilterDatabase" localSheetId="5" hidden="1">'02_Manual_Test_Checklist'!$A$4:$L$35</definedName>
    <definedName name="_xlnm._FilterDatabase" localSheetId="6" hidden="1">'02B_Manual_Test_Checklist_ID'!$A$4:$L$35</definedName>
    <definedName name="_xlnm._FilterDatabase" localSheetId="7" hidden="1">'03_Formula_Checks'!$A$4:$G$66</definedName>
    <definedName name="_xlnm._FilterDatabase" localSheetId="9" hidden="1">'05_Filter_Requirements'!$A$4:$H$26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4" i="13" l="1"/>
  <c r="A15" i="13"/>
  <c r="A26" i="13"/>
  <c r="A27" i="13"/>
  <c r="A38" i="13"/>
  <c r="A39" i="13"/>
  <c r="A50" i="13"/>
  <c r="A51" i="13"/>
  <c r="A62" i="13"/>
  <c r="A63" i="13"/>
  <c r="H16" i="13"/>
  <c r="L16" i="13" s="1"/>
  <c r="H17" i="13"/>
  <c r="L17" i="13" s="1"/>
  <c r="H28" i="13"/>
  <c r="L28" i="13" s="1"/>
  <c r="H29" i="13"/>
  <c r="L29" i="13" s="1"/>
  <c r="H40" i="13"/>
  <c r="L40" i="13" s="1"/>
  <c r="H41" i="13"/>
  <c r="L41" i="13" s="1"/>
  <c r="H52" i="13"/>
  <c r="L52" i="13" s="1"/>
  <c r="H53" i="13"/>
  <c r="L53" i="13" s="1"/>
  <c r="H64" i="13"/>
  <c r="L64" i="13" s="1"/>
  <c r="H65" i="13"/>
  <c r="L65" i="13" s="1"/>
  <c r="H6" i="13" a="1"/>
  <c r="H6" i="13" s="1"/>
  <c r="B10" i="13"/>
  <c r="H10" i="13" s="1"/>
  <c r="L10" i="13" s="1"/>
  <c r="C10" i="13"/>
  <c r="D10" i="13"/>
  <c r="E10" i="13"/>
  <c r="F10" i="13"/>
  <c r="G10" i="13"/>
  <c r="B11" i="13"/>
  <c r="H11" i="13" s="1"/>
  <c r="L11" i="13" s="1"/>
  <c r="C11" i="13"/>
  <c r="D11" i="13"/>
  <c r="E11" i="13"/>
  <c r="F11" i="13"/>
  <c r="G11" i="13"/>
  <c r="B12" i="13"/>
  <c r="H12" i="13" s="1"/>
  <c r="L12" i="13" s="1"/>
  <c r="C12" i="13"/>
  <c r="D12" i="13"/>
  <c r="E12" i="13"/>
  <c r="F12" i="13"/>
  <c r="G12" i="13"/>
  <c r="B13" i="13"/>
  <c r="H13" i="13" s="1"/>
  <c r="L13" i="13" s="1"/>
  <c r="C13" i="13"/>
  <c r="D13" i="13"/>
  <c r="E13" i="13"/>
  <c r="F13" i="13"/>
  <c r="G13" i="13"/>
  <c r="B14" i="13"/>
  <c r="H14" i="13" s="1"/>
  <c r="L14" i="13" s="1"/>
  <c r="C14" i="13"/>
  <c r="D14" i="13"/>
  <c r="E14" i="13"/>
  <c r="F14" i="13"/>
  <c r="G14" i="13"/>
  <c r="B15" i="13"/>
  <c r="H15" i="13" s="1"/>
  <c r="L15" i="13" s="1"/>
  <c r="C15" i="13"/>
  <c r="D15" i="13"/>
  <c r="E15" i="13"/>
  <c r="F15" i="13"/>
  <c r="G15" i="13"/>
  <c r="B16" i="13"/>
  <c r="A16" i="13" s="1"/>
  <c r="C16" i="13"/>
  <c r="D16" i="13"/>
  <c r="E16" i="13"/>
  <c r="F16" i="13"/>
  <c r="G16" i="13"/>
  <c r="B17" i="13"/>
  <c r="A17" i="13" s="1"/>
  <c r="C17" i="13"/>
  <c r="D17" i="13"/>
  <c r="E17" i="13"/>
  <c r="F17" i="13"/>
  <c r="G17" i="13"/>
  <c r="B18" i="13"/>
  <c r="H18" i="13" s="1"/>
  <c r="L18" i="13" s="1"/>
  <c r="C18" i="13"/>
  <c r="D18" i="13"/>
  <c r="E18" i="13"/>
  <c r="F18" i="13"/>
  <c r="G18" i="13"/>
  <c r="B19" i="13"/>
  <c r="A19" i="13" s="1"/>
  <c r="C19" i="13"/>
  <c r="D19" i="13"/>
  <c r="E19" i="13"/>
  <c r="F19" i="13"/>
  <c r="G19" i="13"/>
  <c r="B20" i="13"/>
  <c r="H20" i="13" s="1"/>
  <c r="L20" i="13" s="1"/>
  <c r="C20" i="13"/>
  <c r="D20" i="13"/>
  <c r="E20" i="13"/>
  <c r="F20" i="13"/>
  <c r="G20" i="13"/>
  <c r="B21" i="13"/>
  <c r="H21" i="13" s="1"/>
  <c r="L21" i="13" s="1"/>
  <c r="C21" i="13"/>
  <c r="D21" i="13"/>
  <c r="E21" i="13"/>
  <c r="F21" i="13"/>
  <c r="G21" i="13"/>
  <c r="B22" i="13"/>
  <c r="H22" i="13" s="1"/>
  <c r="L22" i="13" s="1"/>
  <c r="C22" i="13"/>
  <c r="D22" i="13"/>
  <c r="E22" i="13"/>
  <c r="F22" i="13"/>
  <c r="G22" i="13"/>
  <c r="B23" i="13"/>
  <c r="H23" i="13" s="1"/>
  <c r="L23" i="13" s="1"/>
  <c r="C23" i="13"/>
  <c r="D23" i="13"/>
  <c r="E23" i="13"/>
  <c r="F23" i="13"/>
  <c r="G23" i="13"/>
  <c r="B24" i="13"/>
  <c r="H24" i="13" s="1"/>
  <c r="L24" i="13" s="1"/>
  <c r="C24" i="13"/>
  <c r="D24" i="13"/>
  <c r="E24" i="13"/>
  <c r="F24" i="13"/>
  <c r="G24" i="13"/>
  <c r="B25" i="13"/>
  <c r="H25" i="13" s="1"/>
  <c r="L25" i="13" s="1"/>
  <c r="C25" i="13"/>
  <c r="D25" i="13"/>
  <c r="E25" i="13"/>
  <c r="F25" i="13"/>
  <c r="G25" i="13"/>
  <c r="B26" i="13"/>
  <c r="H26" i="13" s="1"/>
  <c r="L26" i="13" s="1"/>
  <c r="C26" i="13"/>
  <c r="D26" i="13"/>
  <c r="E26" i="13"/>
  <c r="F26" i="13"/>
  <c r="G26" i="13"/>
  <c r="B27" i="13"/>
  <c r="H27" i="13" s="1"/>
  <c r="L27" i="13" s="1"/>
  <c r="C27" i="13"/>
  <c r="D27" i="13"/>
  <c r="E27" i="13"/>
  <c r="F27" i="13"/>
  <c r="G27" i="13"/>
  <c r="B28" i="13"/>
  <c r="A28" i="13" s="1"/>
  <c r="C28" i="13"/>
  <c r="D28" i="13"/>
  <c r="E28" i="13"/>
  <c r="F28" i="13"/>
  <c r="G28" i="13"/>
  <c r="B29" i="13"/>
  <c r="A29" i="13" s="1"/>
  <c r="C29" i="13"/>
  <c r="D29" i="13"/>
  <c r="E29" i="13"/>
  <c r="F29" i="13"/>
  <c r="G29" i="13"/>
  <c r="B30" i="13"/>
  <c r="H30" i="13" s="1"/>
  <c r="L30" i="13" s="1"/>
  <c r="C30" i="13"/>
  <c r="D30" i="13"/>
  <c r="E30" i="13"/>
  <c r="F30" i="13"/>
  <c r="G30" i="13"/>
  <c r="B31" i="13"/>
  <c r="H31" i="13" s="1"/>
  <c r="L31" i="13" s="1"/>
  <c r="C31" i="13"/>
  <c r="D31" i="13"/>
  <c r="E31" i="13"/>
  <c r="F31" i="13"/>
  <c r="G31" i="13"/>
  <c r="B32" i="13"/>
  <c r="H32" i="13" s="1"/>
  <c r="L32" i="13" s="1"/>
  <c r="C32" i="13"/>
  <c r="D32" i="13"/>
  <c r="E32" i="13"/>
  <c r="F32" i="13"/>
  <c r="G32" i="13"/>
  <c r="B33" i="13"/>
  <c r="H33" i="13" s="1"/>
  <c r="L33" i="13" s="1"/>
  <c r="C33" i="13"/>
  <c r="D33" i="13"/>
  <c r="E33" i="13"/>
  <c r="F33" i="13"/>
  <c r="G33" i="13"/>
  <c r="B34" i="13"/>
  <c r="H34" i="13" s="1"/>
  <c r="L34" i="13" s="1"/>
  <c r="C34" i="13"/>
  <c r="D34" i="13"/>
  <c r="E34" i="13"/>
  <c r="F34" i="13"/>
  <c r="G34" i="13"/>
  <c r="B35" i="13"/>
  <c r="H35" i="13" s="1"/>
  <c r="L35" i="13" s="1"/>
  <c r="C35" i="13"/>
  <c r="D35" i="13"/>
  <c r="E35" i="13"/>
  <c r="F35" i="13"/>
  <c r="G35" i="13"/>
  <c r="B36" i="13"/>
  <c r="H36" i="13" s="1"/>
  <c r="L36" i="13" s="1"/>
  <c r="C36" i="13"/>
  <c r="D36" i="13"/>
  <c r="E36" i="13"/>
  <c r="F36" i="13"/>
  <c r="G36" i="13"/>
  <c r="B37" i="13"/>
  <c r="H37" i="13" s="1"/>
  <c r="L37" i="13" s="1"/>
  <c r="C37" i="13"/>
  <c r="D37" i="13"/>
  <c r="E37" i="13"/>
  <c r="F37" i="13"/>
  <c r="G37" i="13"/>
  <c r="B38" i="13"/>
  <c r="H38" i="13" s="1"/>
  <c r="L38" i="13" s="1"/>
  <c r="C38" i="13"/>
  <c r="D38" i="13"/>
  <c r="E38" i="13"/>
  <c r="F38" i="13"/>
  <c r="G38" i="13"/>
  <c r="B39" i="13"/>
  <c r="H39" i="13" s="1"/>
  <c r="L39" i="13" s="1"/>
  <c r="C39" i="13"/>
  <c r="D39" i="13"/>
  <c r="E39" i="13"/>
  <c r="F39" i="13"/>
  <c r="G39" i="13"/>
  <c r="B40" i="13"/>
  <c r="A40" i="13" s="1"/>
  <c r="C40" i="13"/>
  <c r="D40" i="13"/>
  <c r="E40" i="13"/>
  <c r="F40" i="13"/>
  <c r="G40" i="13"/>
  <c r="B41" i="13"/>
  <c r="A41" i="13" s="1"/>
  <c r="C41" i="13"/>
  <c r="D41" i="13"/>
  <c r="E41" i="13"/>
  <c r="F41" i="13"/>
  <c r="G41" i="13"/>
  <c r="B42" i="13"/>
  <c r="H42" i="13" s="1"/>
  <c r="L42" i="13" s="1"/>
  <c r="C42" i="13"/>
  <c r="D42" i="13"/>
  <c r="E42" i="13"/>
  <c r="F42" i="13"/>
  <c r="G42" i="13"/>
  <c r="B43" i="13"/>
  <c r="A43" i="13" s="1"/>
  <c r="C43" i="13"/>
  <c r="D43" i="13"/>
  <c r="E43" i="13"/>
  <c r="F43" i="13"/>
  <c r="G43" i="13"/>
  <c r="B44" i="13"/>
  <c r="H44" i="13" s="1"/>
  <c r="L44" i="13" s="1"/>
  <c r="C44" i="13"/>
  <c r="D44" i="13"/>
  <c r="E44" i="13"/>
  <c r="F44" i="13"/>
  <c r="G44" i="13"/>
  <c r="B45" i="13"/>
  <c r="H45" i="13" s="1"/>
  <c r="L45" i="13" s="1"/>
  <c r="C45" i="13"/>
  <c r="D45" i="13"/>
  <c r="E45" i="13"/>
  <c r="F45" i="13"/>
  <c r="G45" i="13"/>
  <c r="B46" i="13"/>
  <c r="H46" i="13" s="1"/>
  <c r="L46" i="13" s="1"/>
  <c r="C46" i="13"/>
  <c r="D46" i="13"/>
  <c r="E46" i="13"/>
  <c r="F46" i="13"/>
  <c r="G46" i="13"/>
  <c r="B47" i="13"/>
  <c r="H47" i="13" s="1"/>
  <c r="L47" i="13" s="1"/>
  <c r="C47" i="13"/>
  <c r="D47" i="13"/>
  <c r="E47" i="13"/>
  <c r="F47" i="13"/>
  <c r="G47" i="13"/>
  <c r="B48" i="13"/>
  <c r="H48" i="13" s="1"/>
  <c r="L48" i="13" s="1"/>
  <c r="C48" i="13"/>
  <c r="D48" i="13"/>
  <c r="E48" i="13"/>
  <c r="F48" i="13"/>
  <c r="G48" i="13"/>
  <c r="B49" i="13"/>
  <c r="H49" i="13" s="1"/>
  <c r="L49" i="13" s="1"/>
  <c r="C49" i="13"/>
  <c r="D49" i="13"/>
  <c r="E49" i="13"/>
  <c r="F49" i="13"/>
  <c r="G49" i="13"/>
  <c r="B50" i="13"/>
  <c r="H50" i="13" s="1"/>
  <c r="L50" i="13" s="1"/>
  <c r="C50" i="13"/>
  <c r="D50" i="13"/>
  <c r="E50" i="13"/>
  <c r="F50" i="13"/>
  <c r="G50" i="13"/>
  <c r="B51" i="13"/>
  <c r="H51" i="13" s="1"/>
  <c r="L51" i="13" s="1"/>
  <c r="C51" i="13"/>
  <c r="D51" i="13"/>
  <c r="E51" i="13"/>
  <c r="F51" i="13"/>
  <c r="G51" i="13"/>
  <c r="B52" i="13"/>
  <c r="A52" i="13" s="1"/>
  <c r="C52" i="13"/>
  <c r="D52" i="13"/>
  <c r="E52" i="13"/>
  <c r="F52" i="13"/>
  <c r="G52" i="13"/>
  <c r="B53" i="13"/>
  <c r="A53" i="13" s="1"/>
  <c r="C53" i="13"/>
  <c r="D53" i="13"/>
  <c r="E53" i="13"/>
  <c r="F53" i="13"/>
  <c r="G53" i="13"/>
  <c r="B54" i="13"/>
  <c r="H54" i="13" s="1"/>
  <c r="L54" i="13" s="1"/>
  <c r="C54" i="13"/>
  <c r="D54" i="13"/>
  <c r="E54" i="13"/>
  <c r="F54" i="13"/>
  <c r="G54" i="13"/>
  <c r="B55" i="13"/>
  <c r="H55" i="13" s="1"/>
  <c r="L55" i="13" s="1"/>
  <c r="C55" i="13"/>
  <c r="D55" i="13"/>
  <c r="E55" i="13"/>
  <c r="F55" i="13"/>
  <c r="G55" i="13"/>
  <c r="B56" i="13"/>
  <c r="H56" i="13" s="1"/>
  <c r="L56" i="13" s="1"/>
  <c r="C56" i="13"/>
  <c r="D56" i="13"/>
  <c r="E56" i="13"/>
  <c r="F56" i="13"/>
  <c r="G56" i="13"/>
  <c r="B57" i="13"/>
  <c r="H57" i="13" s="1"/>
  <c r="L57" i="13" s="1"/>
  <c r="C57" i="13"/>
  <c r="D57" i="13"/>
  <c r="E57" i="13"/>
  <c r="F57" i="13"/>
  <c r="G57" i="13"/>
  <c r="B58" i="13"/>
  <c r="H58" i="13" s="1"/>
  <c r="L58" i="13" s="1"/>
  <c r="C58" i="13"/>
  <c r="D58" i="13"/>
  <c r="E58" i="13"/>
  <c r="F58" i="13"/>
  <c r="G58" i="13"/>
  <c r="B59" i="13"/>
  <c r="H59" i="13" s="1"/>
  <c r="L59" i="13" s="1"/>
  <c r="C59" i="13"/>
  <c r="D59" i="13"/>
  <c r="E59" i="13"/>
  <c r="F59" i="13"/>
  <c r="G59" i="13"/>
  <c r="B60" i="13"/>
  <c r="H60" i="13" s="1"/>
  <c r="L60" i="13" s="1"/>
  <c r="C60" i="13"/>
  <c r="D60" i="13"/>
  <c r="E60" i="13"/>
  <c r="F60" i="13"/>
  <c r="G60" i="13"/>
  <c r="B61" i="13"/>
  <c r="H61" i="13" s="1"/>
  <c r="L61" i="13" s="1"/>
  <c r="C61" i="13"/>
  <c r="D61" i="13"/>
  <c r="E61" i="13"/>
  <c r="F61" i="13"/>
  <c r="G61" i="13"/>
  <c r="B62" i="13"/>
  <c r="H62" i="13" s="1"/>
  <c r="L62" i="13" s="1"/>
  <c r="C62" i="13"/>
  <c r="D62" i="13"/>
  <c r="E62" i="13"/>
  <c r="F62" i="13"/>
  <c r="G62" i="13"/>
  <c r="B63" i="13"/>
  <c r="H63" i="13" s="1"/>
  <c r="L63" i="13" s="1"/>
  <c r="C63" i="13"/>
  <c r="D63" i="13"/>
  <c r="E63" i="13"/>
  <c r="F63" i="13"/>
  <c r="G63" i="13"/>
  <c r="B64" i="13"/>
  <c r="A64" i="13" s="1"/>
  <c r="C64" i="13"/>
  <c r="D64" i="13"/>
  <c r="E64" i="13"/>
  <c r="F64" i="13"/>
  <c r="G64" i="13"/>
  <c r="B65" i="13"/>
  <c r="A65" i="13" s="1"/>
  <c r="C65" i="13"/>
  <c r="D65" i="13"/>
  <c r="E65" i="13"/>
  <c r="F65" i="13"/>
  <c r="G65" i="13"/>
  <c r="B66" i="13"/>
  <c r="H66" i="13" s="1"/>
  <c r="L66" i="13" s="1"/>
  <c r="C66" i="13"/>
  <c r="D66" i="13"/>
  <c r="E66" i="13"/>
  <c r="F66" i="13"/>
  <c r="G66" i="13"/>
  <c r="B67" i="13"/>
  <c r="A67" i="13" s="1"/>
  <c r="C67" i="13"/>
  <c r="D67" i="13"/>
  <c r="E67" i="13"/>
  <c r="F67" i="13"/>
  <c r="G67" i="13"/>
  <c r="F6" i="13"/>
  <c r="D6" i="13"/>
  <c r="A61" i="13" l="1"/>
  <c r="A49" i="13"/>
  <c r="A37" i="13"/>
  <c r="A25" i="13"/>
  <c r="A13" i="13"/>
  <c r="A60" i="13"/>
  <c r="A48" i="13"/>
  <c r="A36" i="13"/>
  <c r="A24" i="13"/>
  <c r="A12" i="13"/>
  <c r="A59" i="13"/>
  <c r="A47" i="13"/>
  <c r="A35" i="13"/>
  <c r="A23" i="13"/>
  <c r="A11" i="13"/>
  <c r="A58" i="13"/>
  <c r="A46" i="13"/>
  <c r="A34" i="13"/>
  <c r="A22" i="13"/>
  <c r="A10" i="13"/>
  <c r="A57" i="13"/>
  <c r="A45" i="13"/>
  <c r="A33" i="13"/>
  <c r="A21" i="13"/>
  <c r="A56" i="13"/>
  <c r="A44" i="13"/>
  <c r="A32" i="13"/>
  <c r="A20" i="13"/>
  <c r="A66" i="13"/>
  <c r="A54" i="13"/>
  <c r="A42" i="13"/>
  <c r="A30" i="13"/>
  <c r="A18" i="13"/>
  <c r="A55" i="13"/>
  <c r="A31" i="13"/>
  <c r="H67" i="13"/>
  <c r="L67" i="13" s="1"/>
  <c r="H43" i="13"/>
  <c r="L43" i="13" s="1"/>
  <c r="H19" i="13"/>
  <c r="L19" i="13" s="1"/>
  <c r="B6" i="13"/>
  <c r="B38" i="1" l="1"/>
  <c r="B32" i="1"/>
  <c r="C32" i="1" s="1"/>
  <c r="B33" i="1"/>
  <c r="C33" i="1" s="1"/>
  <c r="B34" i="1"/>
  <c r="B35" i="1"/>
  <c r="B36" i="1"/>
  <c r="B37" i="1"/>
  <c r="B31" i="1"/>
  <c r="I67" i="2"/>
  <c r="H67" i="2"/>
  <c r="G67" i="2"/>
  <c r="F67" i="2"/>
  <c r="E67" i="2"/>
  <c r="I66" i="2"/>
  <c r="H66" i="2"/>
  <c r="G66" i="2"/>
  <c r="F66" i="2"/>
  <c r="E66" i="2"/>
  <c r="I65" i="2"/>
  <c r="H65" i="2"/>
  <c r="G65" i="2"/>
  <c r="F65" i="2"/>
  <c r="E65" i="2"/>
  <c r="I64" i="2"/>
  <c r="H64" i="2"/>
  <c r="G64" i="2"/>
  <c r="F64" i="2"/>
  <c r="E64" i="2"/>
  <c r="I63" i="2"/>
  <c r="H63" i="2"/>
  <c r="G63" i="2"/>
  <c r="F63" i="2"/>
  <c r="E63" i="2"/>
  <c r="I62" i="2"/>
  <c r="H62" i="2"/>
  <c r="G62" i="2"/>
  <c r="F62" i="2"/>
  <c r="E62" i="2"/>
  <c r="I61" i="2"/>
  <c r="H61" i="2"/>
  <c r="G61" i="2"/>
  <c r="F61" i="2"/>
  <c r="E61" i="2"/>
  <c r="I60" i="2"/>
  <c r="H60" i="2"/>
  <c r="G60" i="2"/>
  <c r="F60" i="2"/>
  <c r="E60" i="2"/>
  <c r="I59" i="2"/>
  <c r="H59" i="2"/>
  <c r="G59" i="2"/>
  <c r="F59" i="2"/>
  <c r="E59" i="2"/>
  <c r="I58" i="2"/>
  <c r="H58" i="2"/>
  <c r="G58" i="2"/>
  <c r="F58" i="2"/>
  <c r="E58" i="2"/>
  <c r="I57" i="2"/>
  <c r="H57" i="2"/>
  <c r="G57" i="2"/>
  <c r="F57" i="2"/>
  <c r="E57" i="2"/>
  <c r="I56" i="2"/>
  <c r="H56" i="2"/>
  <c r="G56" i="2"/>
  <c r="F56" i="2"/>
  <c r="E56" i="2"/>
  <c r="I55" i="2"/>
  <c r="H55" i="2"/>
  <c r="G55" i="2"/>
  <c r="F55" i="2"/>
  <c r="E55" i="2"/>
  <c r="I54" i="2"/>
  <c r="H54" i="2"/>
  <c r="G54" i="2"/>
  <c r="F54" i="2"/>
  <c r="E54" i="2"/>
  <c r="I53" i="2"/>
  <c r="H53" i="2"/>
  <c r="G53" i="2"/>
  <c r="F53" i="2"/>
  <c r="E53" i="2"/>
  <c r="I52" i="2"/>
  <c r="H52" i="2"/>
  <c r="G52" i="2"/>
  <c r="F52" i="2"/>
  <c r="E52" i="2"/>
  <c r="I51" i="2"/>
  <c r="H51" i="2"/>
  <c r="G51" i="2"/>
  <c r="F51" i="2"/>
  <c r="E51" i="2"/>
  <c r="I50" i="2"/>
  <c r="H50" i="2"/>
  <c r="G50" i="2"/>
  <c r="F50" i="2"/>
  <c r="E50" i="2"/>
  <c r="I49" i="2"/>
  <c r="H49" i="2"/>
  <c r="G49" i="2"/>
  <c r="F49" i="2"/>
  <c r="E49" i="2"/>
  <c r="I48" i="2"/>
  <c r="H48" i="2"/>
  <c r="G48" i="2"/>
  <c r="F48" i="2"/>
  <c r="E48" i="2"/>
  <c r="I47" i="2"/>
  <c r="H47" i="2"/>
  <c r="G47" i="2"/>
  <c r="F47" i="2"/>
  <c r="E47" i="2"/>
  <c r="I46" i="2"/>
  <c r="H46" i="2"/>
  <c r="G46" i="2"/>
  <c r="F46" i="2"/>
  <c r="E46" i="2"/>
  <c r="I45" i="2"/>
  <c r="H45" i="2"/>
  <c r="G45" i="2"/>
  <c r="F45" i="2"/>
  <c r="E45" i="2"/>
  <c r="I44" i="2"/>
  <c r="H44" i="2"/>
  <c r="G44" i="2"/>
  <c r="F44" i="2"/>
  <c r="E44" i="2"/>
  <c r="I43" i="2"/>
  <c r="H43" i="2"/>
  <c r="G43" i="2"/>
  <c r="F43" i="2"/>
  <c r="E43" i="2"/>
  <c r="I42" i="2"/>
  <c r="H42" i="2"/>
  <c r="G42" i="2"/>
  <c r="F42" i="2"/>
  <c r="E42" i="2"/>
  <c r="I41" i="2"/>
  <c r="H41" i="2"/>
  <c r="G41" i="2"/>
  <c r="F41" i="2"/>
  <c r="E41" i="2"/>
  <c r="I40" i="2"/>
  <c r="H40" i="2"/>
  <c r="G40" i="2"/>
  <c r="F40" i="2"/>
  <c r="E40" i="2"/>
  <c r="I39" i="2"/>
  <c r="H39" i="2"/>
  <c r="G39" i="2"/>
  <c r="F39" i="2"/>
  <c r="E39" i="2"/>
  <c r="I38" i="2"/>
  <c r="H38" i="2"/>
  <c r="G38" i="2"/>
  <c r="F38" i="2"/>
  <c r="E38" i="2"/>
  <c r="I37" i="2"/>
  <c r="H37" i="2"/>
  <c r="G37" i="2"/>
  <c r="F37" i="2"/>
  <c r="E37" i="2"/>
  <c r="I36" i="2"/>
  <c r="H36" i="2"/>
  <c r="G36" i="2"/>
  <c r="F36" i="2"/>
  <c r="E36" i="2"/>
  <c r="I35" i="2"/>
  <c r="H35" i="2"/>
  <c r="G35" i="2"/>
  <c r="F35" i="2"/>
  <c r="E35" i="2"/>
  <c r="I34" i="2"/>
  <c r="H34" i="2"/>
  <c r="G34" i="2"/>
  <c r="F34" i="2"/>
  <c r="E34" i="2"/>
  <c r="I33" i="2"/>
  <c r="H33" i="2"/>
  <c r="G33" i="2"/>
  <c r="F33" i="2"/>
  <c r="E33" i="2"/>
  <c r="I32" i="2"/>
  <c r="H32" i="2"/>
  <c r="G32" i="2"/>
  <c r="F32" i="2"/>
  <c r="E32" i="2"/>
  <c r="I31" i="2"/>
  <c r="H31" i="2"/>
  <c r="G31" i="2"/>
  <c r="F31" i="2"/>
  <c r="E31" i="2"/>
  <c r="I30" i="2"/>
  <c r="H30" i="2"/>
  <c r="G30" i="2"/>
  <c r="F30" i="2"/>
  <c r="E30" i="2"/>
  <c r="I29" i="2"/>
  <c r="H29" i="2"/>
  <c r="G29" i="2"/>
  <c r="F29" i="2"/>
  <c r="E29" i="2"/>
  <c r="I28" i="2"/>
  <c r="H28" i="2"/>
  <c r="G28" i="2"/>
  <c r="F28" i="2"/>
  <c r="E28" i="2"/>
  <c r="I27" i="2"/>
  <c r="H27" i="2"/>
  <c r="G27" i="2"/>
  <c r="F27" i="2"/>
  <c r="E27" i="2"/>
  <c r="I26" i="2"/>
  <c r="H26" i="2"/>
  <c r="G26" i="2"/>
  <c r="F26" i="2"/>
  <c r="E26" i="2"/>
  <c r="B26" i="2"/>
  <c r="I25" i="2"/>
  <c r="H25" i="2"/>
  <c r="G25" i="2"/>
  <c r="F25" i="2"/>
  <c r="E25" i="2"/>
  <c r="B25" i="2"/>
  <c r="I24" i="2"/>
  <c r="H24" i="2"/>
  <c r="G24" i="2"/>
  <c r="F24" i="2"/>
  <c r="E24" i="2"/>
  <c r="B24" i="2"/>
  <c r="I23" i="2"/>
  <c r="H23" i="2"/>
  <c r="G23" i="2"/>
  <c r="F23" i="2"/>
  <c r="E23" i="2"/>
  <c r="I22" i="2"/>
  <c r="H22" i="2"/>
  <c r="G22" i="2"/>
  <c r="F22" i="2"/>
  <c r="E22" i="2"/>
  <c r="I21" i="2"/>
  <c r="H21" i="2"/>
  <c r="G21" i="2"/>
  <c r="F21" i="2"/>
  <c r="E21" i="2"/>
  <c r="C21" i="2"/>
  <c r="B21" i="2"/>
  <c r="I20" i="2"/>
  <c r="H20" i="2"/>
  <c r="G20" i="2"/>
  <c r="F20" i="2"/>
  <c r="E20" i="2"/>
  <c r="C20" i="2"/>
  <c r="B20" i="2"/>
  <c r="I19" i="2"/>
  <c r="H19" i="2"/>
  <c r="G19" i="2"/>
  <c r="F19" i="2"/>
  <c r="E19" i="2"/>
  <c r="C19" i="2"/>
  <c r="B19" i="2"/>
  <c r="I18" i="2"/>
  <c r="H18" i="2"/>
  <c r="G18" i="2"/>
  <c r="F18" i="2"/>
  <c r="E18" i="2"/>
  <c r="C18" i="2"/>
  <c r="B18" i="2"/>
  <c r="I17" i="2"/>
  <c r="H17" i="2"/>
  <c r="G17" i="2"/>
  <c r="F17" i="2"/>
  <c r="E17" i="2"/>
  <c r="I16" i="2"/>
  <c r="H16" i="2"/>
  <c r="G16" i="2"/>
  <c r="F16" i="2"/>
  <c r="E16" i="2"/>
  <c r="C16" i="2"/>
  <c r="B16" i="2"/>
  <c r="I15" i="2"/>
  <c r="H15" i="2"/>
  <c r="G15" i="2"/>
  <c r="F15" i="2"/>
  <c r="E15" i="2"/>
  <c r="C15" i="2"/>
  <c r="B15" i="2"/>
  <c r="I14" i="2"/>
  <c r="H14" i="2"/>
  <c r="G14" i="2"/>
  <c r="F14" i="2"/>
  <c r="E14" i="2"/>
  <c r="C14" i="2"/>
  <c r="B14" i="2"/>
  <c r="I13" i="2"/>
  <c r="H13" i="2"/>
  <c r="G13" i="2"/>
  <c r="F13" i="2"/>
  <c r="E13" i="2"/>
  <c r="C13" i="2"/>
  <c r="B13" i="2"/>
  <c r="I12" i="2"/>
  <c r="H12" i="2"/>
  <c r="G12" i="2"/>
  <c r="F12" i="2"/>
  <c r="E12" i="2"/>
  <c r="C12" i="2"/>
  <c r="B12" i="2"/>
  <c r="I11" i="2"/>
  <c r="H11" i="2"/>
  <c r="G11" i="2"/>
  <c r="F11" i="2"/>
  <c r="E11" i="2"/>
  <c r="C11" i="2"/>
  <c r="B11" i="2"/>
  <c r="I10" i="2"/>
  <c r="H10" i="2"/>
  <c r="G10" i="2"/>
  <c r="F10" i="2"/>
  <c r="E10" i="2"/>
  <c r="C10" i="2"/>
  <c r="B10" i="2"/>
  <c r="I9" i="2"/>
  <c r="H9" i="2"/>
  <c r="G9" i="2"/>
  <c r="F9" i="2"/>
  <c r="E9" i="2"/>
  <c r="C9" i="2"/>
  <c r="B9" i="2"/>
  <c r="I8" i="2"/>
  <c r="H8" i="2"/>
  <c r="G8" i="2"/>
  <c r="F8" i="2"/>
  <c r="E8" i="2"/>
  <c r="I7" i="2"/>
  <c r="H7" i="2"/>
  <c r="G7" i="2"/>
  <c r="F7" i="2"/>
  <c r="E7" i="2"/>
  <c r="I6" i="2"/>
  <c r="H6" i="2"/>
  <c r="G6" i="2"/>
  <c r="F6" i="2"/>
  <c r="E6" i="2"/>
  <c r="C5" i="2"/>
  <c r="C38" i="1"/>
  <c r="C37" i="1"/>
  <c r="C36" i="1"/>
  <c r="C35" i="1"/>
  <c r="C34" i="1"/>
  <c r="C31" i="1"/>
  <c r="D26" i="1"/>
  <c r="C26" i="1"/>
  <c r="B26" i="1"/>
  <c r="D25" i="1"/>
  <c r="C25" i="1"/>
  <c r="B25" i="1"/>
  <c r="D24" i="1"/>
  <c r="C24" i="1"/>
  <c r="B24" i="1"/>
  <c r="D23" i="1"/>
  <c r="C23" i="1"/>
  <c r="B23" i="1"/>
  <c r="D22" i="1"/>
  <c r="C22" i="1"/>
  <c r="B22" i="1"/>
  <c r="D21" i="1"/>
  <c r="C21" i="1"/>
  <c r="B21" i="1"/>
  <c r="J18" i="1"/>
  <c r="I18" i="1"/>
  <c r="H18" i="1"/>
  <c r="J17" i="1"/>
  <c r="I17" i="1"/>
  <c r="H17" i="1"/>
  <c r="J16" i="1"/>
  <c r="I16" i="1"/>
  <c r="H16" i="1"/>
  <c r="J15" i="1"/>
  <c r="I15" i="1"/>
  <c r="H15" i="1"/>
  <c r="E15" i="1"/>
  <c r="D15" i="1"/>
  <c r="C15" i="1"/>
  <c r="B15" i="1"/>
  <c r="J14" i="1"/>
  <c r="I14" i="1"/>
  <c r="H14" i="1"/>
  <c r="E14" i="1"/>
  <c r="D14" i="1"/>
  <c r="C14" i="1"/>
  <c r="B14" i="1"/>
  <c r="J13" i="1"/>
  <c r="I13" i="1"/>
  <c r="H13" i="1"/>
  <c r="E13" i="1"/>
  <c r="D13" i="1"/>
  <c r="C13" i="1"/>
  <c r="B13" i="1"/>
  <c r="J12" i="1"/>
  <c r="I12" i="1"/>
  <c r="H12" i="1"/>
  <c r="E12" i="1"/>
  <c r="E16" i="1" s="1"/>
  <c r="D12" i="1"/>
  <c r="D16" i="1" s="1"/>
  <c r="C12" i="1"/>
  <c r="C16" i="1" s="1"/>
  <c r="B12" i="1"/>
  <c r="B16" i="1" s="1"/>
  <c r="J7" i="1"/>
  <c r="G7" i="1"/>
  <c r="D7" i="1"/>
  <c r="A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<sst xmlns="http://schemas.openxmlformats.org/spreadsheetml/2006/main" count="3588" uniqueCount="1672">
  <si>
    <t>AI Finance Forum mockup - QC summary</t>
  </si>
  <si>
    <t>Reviewed 28 July 2026 against the live API. 47 findings raised, 62 calculations reconciled, 31 manual tests to run.</t>
  </si>
  <si>
    <t>All counts below recalculate from 01_Findings. Update that sheet and this page follows.</t>
  </si>
  <si>
    <t>Headline</t>
  </si>
  <si>
    <t>Total findings</t>
  </si>
  <si>
    <t>Demo blockers</t>
  </si>
  <si>
    <t>Critical</t>
  </si>
  <si>
    <t>Still open</t>
  </si>
  <si>
    <t>of 47</t>
  </si>
  <si>
    <t>By severity</t>
  </si>
  <si>
    <t>By agent</t>
  </si>
  <si>
    <t>Severity</t>
  </si>
  <si>
    <t>Total</t>
  </si>
  <si>
    <t>Blockers</t>
  </si>
  <si>
    <t>Open</t>
  </si>
  <si>
    <t>Closed</t>
  </si>
  <si>
    <t>Agent</t>
  </si>
  <si>
    <t>Finance</t>
  </si>
  <si>
    <t>High</t>
  </si>
  <si>
    <t>Collection</t>
  </si>
  <si>
    <t>Medium</t>
  </si>
  <si>
    <t>Leakage</t>
  </si>
  <si>
    <t>Low</t>
  </si>
  <si>
    <t>Treasury</t>
  </si>
  <si>
    <t>All</t>
  </si>
  <si>
    <t>Finance + Collection</t>
  </si>
  <si>
    <t>Collection + Treasury</t>
  </si>
  <si>
    <t>By QC area from the brief</t>
  </si>
  <si>
    <t>QC area</t>
  </si>
  <si>
    <t>a. Formula consistency</t>
  </si>
  <si>
    <t>b. Chart accuracy</t>
  </si>
  <si>
    <t>c. Button / menu / function</t>
  </si>
  <si>
    <t>d. Prompt &amp; response</t>
  </si>
  <si>
    <t>f. Dataset</t>
  </si>
  <si>
    <t>g. Filters</t>
  </si>
  <si>
    <t>Progress</t>
  </si>
  <si>
    <t>Status</t>
  </si>
  <si>
    <t>Count</t>
  </si>
  <si>
    <t>% of all</t>
  </si>
  <si>
    <t>Blockers cleared</t>
  </si>
  <si>
    <t>Demo ready when this reaches 100%</t>
  </si>
  <si>
    <t>How to use this workbook</t>
  </si>
  <si>
    <t>04_Dataset_Requirements   the client's data volumes against what the mockup has, and where the replacement sits.</t>
  </si>
  <si>
    <t>05_Filter_Requirements   the 22 filters the app needs. None currently exist.</t>
  </si>
  <si>
    <t>06_Demo_Readiness_Gate   the go / no-go list. Nothing gets recorded until the 'Must clear' rows are done.</t>
  </si>
  <si>
    <t>Cari cepat temuan QC</t>
  </si>
  <si>
    <t>Ketik atau pilih nomor QC di kotak kuning. Seluruh detailnya muncul di bawah. Daftar ringkas semua temuan ada di sebelah kanan.</t>
  </si>
  <si>
    <t>Daftar ringkas 47 temuan</t>
  </si>
  <si>
    <t>Nomor QC</t>
  </si>
  <si>
    <t>QC-013</t>
  </si>
  <si>
    <t>No QC</t>
  </si>
  <si>
    <t>Tingkat</t>
  </si>
  <si>
    <t>Blocker</t>
  </si>
  <si>
    <t>Judul temuan</t>
  </si>
  <si>
    <t>Ringkasan</t>
  </si>
  <si>
    <t>Bahasa Indonesia</t>
  </si>
  <si>
    <t>English</t>
  </si>
  <si>
    <t>Tingkat keparahan</t>
  </si>
  <si>
    <t>Penghambat demo</t>
  </si>
  <si>
    <t>Area QC</t>
  </si>
  <si>
    <t>Jenis</t>
  </si>
  <si>
    <t>Penanggung jawab</t>
  </si>
  <si>
    <t>Target selesai</t>
  </si>
  <si>
    <t>Rincian</t>
  </si>
  <si>
    <t>Temuan</t>
  </si>
  <si>
    <t>Bukti yang ditemukan</t>
  </si>
  <si>
    <t>Perilaku yang seharusnya</t>
  </si>
  <si>
    <t>Dugaan akar masalah</t>
  </si>
  <si>
    <t>Pemeriksaan formula terkait</t>
  </si>
  <si>
    <t>Perhitungan</t>
  </si>
  <si>
    <t>Hasil di aplikasi</t>
  </si>
  <si>
    <t>Verdict</t>
  </si>
  <si>
    <t>Catatan</t>
  </si>
  <si>
    <t>Kalau kolom B dan C berbunyi 'tidak ditemukan', berarti nomor QC-nya salah ketik. Gunakan daftar di sebelah kanan.</t>
  </si>
  <si>
    <t>Temuan yang tidak punya pemeriksaan formula akan menampilkan 'tidak ada pemeriksaan formula untuk nomor ini'. Itu normal, tidak semua temuan berupa hitungan.</t>
  </si>
  <si>
    <t>Panduan QC Tracker - AI Finance Forum</t>
  </si>
  <si>
    <t>Dokumen ini menjelaskan isi workbook QC dan cara memakainya. Ditinjau 28 Juli 2026.</t>
  </si>
  <si>
    <t>1. APA ITU WORKBOOK INI</t>
  </si>
  <si>
    <t>Workbook ini adalah hasil pemeriksaan mutu (quality control) atas mockup AI Finance Forum, plus alat pelacak</t>
  </si>
  <si>
    <t>perbaikannya. Isinya dua hal: daftar temuan yang harus diperbaiki, dan daftar pengujian yang masih harus</t>
  </si>
  <si>
    <t>dijalankan secara manual sebelum demo di depan para CFO.</t>
  </si>
  <si>
    <t>2. BAGAIMANA PEMERIKSAAN INI DILAKUKAN, DAN APA BATASNYA</t>
  </si>
  <si>
    <t>Pemeriksaan dilakukan langsung terhadap API aplikasi yang sedang berjalan. Semua endpoint GET dibaca:</t>
  </si>
  <si>
    <t>dashboard keempat agent, KPI, konfigurasi grafik, 47 alert, 47 action card, dan riwayat percakapan.</t>
  </si>
  <si>
    <t>Batas yang penting untuk Anda ketahui: tombol, menu, slider simulator, kotak chat, serta tombol approve dan</t>
  </si>
  <si>
    <t>simulate pada action semuanya berjalan lewat POST atau di sisi browser. Semua itu TIDAK bisa diuji dari luar.</t>
  </si>
  <si>
    <t>Karena itu 31 pengujian manual disiapkan di sheet 02. Bagian tersebut masih berstatus belum diuji.</t>
  </si>
  <si>
    <t>3. ANGKA RINGKAS</t>
  </si>
  <si>
    <t>47 temuan, terdiri dari 6 Kritis, 23 Tinggi, 17 Sedang, dan 1 Rendah.</t>
  </si>
  <si>
    <t>30 di antaranya berstatus demo blocker, artinya berisiko terlihat langsung oleh audiens CFO.</t>
  </si>
  <si>
    <t>62 perhitungan direkonsiliasi ulang. 44 di antaranya BENAR dan bisa Anda pertahankan di atas panggung.</t>
  </si>
  <si>
    <t>31 pengujian manual masih harus dijalankan.</t>
  </si>
  <si>
    <t>4. TIGA MASALAH YANG PALING BERBAHAYA</t>
  </si>
  <si>
    <t>a. Grafik kategori pada agent Leakage menampilkan nol semua (QC-001).</t>
  </si>
  <si>
    <t xml:space="preserve">   Ini adalah tampilan pertama saat agent Leakage dibuka. KPI menunjukkan 7.845 mn, tetapi grafik rincian,</t>
  </si>
  <si>
    <t xml:space="preserve">   donut, kolom Amount pada worklist, dan kolom At risk pada vendor radar semuanya berisi nol. Dalam sepuluh</t>
  </si>
  <si>
    <t xml:space="preserve">   detik pertama, audiens akan membaca ini sebagai produk yang rusak.</t>
  </si>
  <si>
    <t>b. Empat agent berjalan di atas empat batch data yang tidak berhubungan (QC-002 dan QC-003).</t>
  </si>
  <si>
    <t xml:space="preserve">   Collection mengasumsikan penjualan kredit setahun 700.000 mn, sementara Finance melaporkan pendapatan</t>
  </si>
  <si>
    <t xml:space="preserve">   46.510 mn. Selisihnya 15 kali lipat. Piutang 110.000 mn setara 2,4 kali seluruh pendapatan tahunan Finance.</t>
  </si>
  <si>
    <t xml:space="preserve">   Begitu ada yang bertanya bagaimana DSO berhubungan dengan pendapatan, seluruh model kehilangan kredibilitas.</t>
  </si>
  <si>
    <t>c. Lima action card menampilkan perhitungan yang bertentangan dengan teksnya sendiri (QC-004, QC-005, QC-016,</t>
  </si>
  <si>
    <t xml:space="preserve">   QC-017, QC-019). Yang paling parah: aksi 'Defer noncritical Week 5 payable' mengklaim headroom Minggu 6</t>
  </si>
  <si>
    <t xml:space="preserve">   NAIK 3.000 padahal utangnya justru dipindahkan KE Minggu 6. Tandanya terbalik. Satu aksi lain mencampur</t>
  </si>
  <si>
    <t xml:space="preserve">   headroom (-1.002,5) dengan saldo kas (6.997,5) dalam satu perbandingan. Teks dampak ini ditulis manual,</t>
  </si>
  <si>
    <t xml:space="preserve">   bukan dihitung dari forecast.</t>
  </si>
  <si>
    <t>5. DUA HAL LAIN YANG PERLU CEPAT DITANGANI</t>
  </si>
  <si>
    <t>Riwayat percakapan berisi sekitar 190 percakapan tersimpan, termasuk 'asdsad', 'hello world', dan</t>
  </si>
  <si>
    <t>'test test test' (QC-006). Pastikan dibersihkan atau panelnya disembunyikan sebelum event.</t>
  </si>
  <si>
    <t>Kata 'illustrative' terekspos di lima tempat dalam payload (QC-039). Memberi tahu ruangan berisi CFO bahwa</t>
  </si>
  <si>
    <t>angkanya hanya ilustrasi akan meruntuhkan semua yang baru saja Anda tunjukkan.</t>
  </si>
  <si>
    <t>6. SATU HAL YANG PERLU DIVERIFIKASI KE TIM DEV</t>
  </si>
  <si>
    <t>Alert menyebut harga blended turun 7,6%, dari IDR 127,7k menjadi IDR 118,0k per unit. Tetapi waterfall EBITDA</t>
  </si>
  <si>
    <t>hanya menampilkan langkah harga -390 mn atas pendapatan 46.510 mn. Penurunan 7,6% seharusnya berdampak sekitar</t>
  </si>
  <si>
    <t>-3.800 mn. Selisihnya sepuluh kali lipat (QC-010).</t>
  </si>
  <si>
    <t>Saya tidak bisa melihat model dasarnya, jadi tingkat keyakinan saya SEDANG. Namun inilah satu hal yang paling</t>
  </si>
  <si>
    <t>mungkin ditangkap oleh CFO yang teliti, dan perlu diverifikasi sebelum event.</t>
  </si>
  <si>
    <t>7. YANG SUDAH BENAR DAN BISA ANDA PERTAHANKAN</t>
  </si>
  <si>
    <t>44 dari 62 perhitungan sudah cocok persis. Yang sudah terbukti benar:</t>
  </si>
  <si>
    <t>- Laporan laba rugi Finance: pendapatan, gross margin, opex, EBITDA, dan seluruh persentasenya.</t>
  </si>
  <si>
    <t>- Tabel opex: kolom aktual dan anggaran sama-sama menjumlah dengan benar, dan variansnya cocok dengan waterfall.</t>
  </si>
  <si>
    <t>- Waterfall EBITDA tertutup rapi: 7.200 + 1.341 - 1.491 - 390 - 1.880 - 480 = 4.300.</t>
  </si>
  <si>
    <t>- Seluruh rantai Collection: umur piutang, DSO, kas yang dibebaskan pada target, dan ketiga opsi penagihan.</t>
  </si>
  <si>
    <t>- Seluruh ekonomi lindung nilai Treasury: kerugian yang dihindari, premi forward, dan opsi hedge separuh.</t>
  </si>
  <si>
    <t>Rinciannya ada di sheet 03_Formula_Checks. Gunakan sheet itu untuk tahu apa yang aman Anda klaim.</t>
  </si>
  <si>
    <t>8. ISI SETIAP SHEET</t>
  </si>
  <si>
    <t>00_Summary                 ringkasan angka, otomatis mengikuti sheet 01. Bahasa Inggris.</t>
  </si>
  <si>
    <t>00B_Panduan_Bahasa         halaman ini.</t>
  </si>
  <si>
    <t>01_Findings                47 temuan versi Bahasa Inggris, lengkap dengan bukti dan akar masalah.</t>
  </si>
  <si>
    <t>01B_Temuan_Bahasa          47 temuan yang sama dalam Bahasa Indonesia. Nomor QC-nya sama persis.</t>
  </si>
  <si>
    <t>02_Manual_Test_Checklist   31 pengujian manual, Bahasa Inggris.</t>
  </si>
  <si>
    <t>02B_Uji_Manual_Bahasa      31 pengujian manual yang sama dalam Bahasa Indonesia.</t>
  </si>
  <si>
    <t>03_Formula_Checks          62 perhitungan yang direkonsiliasi, termasuk yang lulus.</t>
  </si>
  <si>
    <t>04_Dataset_Requirements    permintaan data klien dibandingkan isi mockup saat ini.</t>
  </si>
  <si>
    <t>05_Filter_Requirements     22 filter yang dibutuhkan aplikasi. Saat ini tidak ada satu pun.</t>
  </si>
  <si>
    <t>06_Demo_Readiness_Gate     daftar go / no-go sebelum rekaman demo, Bahasa Inggris.</t>
  </si>
  <si>
    <t>06B_Gerbang_Kesiapan       daftar go / no-go yang sama dalam Bahasa Indonesia.</t>
  </si>
  <si>
    <t>9. CARA MEMAKAI TRACKER INI</t>
  </si>
  <si>
    <t>Langkah 1. Bagikan sheet 01B ke tim dev. Setiap baris sudah berisi bukti, perilaku yang seharusnya, dan dugaan</t>
  </si>
  <si>
    <t xml:space="preserve">           akar masalah, sehingga tim tidak perlu menebak.</t>
  </si>
  <si>
    <t>Langkah 2. Kolom berwarna kuning adalah kolom yang Anda isi: Status, Tanggal uji ulang, Hasil uji ulang, dan</t>
  </si>
  <si>
    <t xml:space="preserve">           Catatan. Kolom Status memiliki daftar pilihan.</t>
  </si>
  <si>
    <t>Langkah 3. Sheet 00_Summary menghitung ulang otomatis setiap kali Status diubah. Tidak perlu rekap manual.</t>
  </si>
  <si>
    <t>Langkah 4. Jalankan sheet 02B pada aplikasi live. Setiap kegagalan menjadi baris baru di sheet 01B.</t>
  </si>
  <si>
    <t>Langkah 5. Jangan mulai merekam video demo sebelum semua baris 'Wajib tuntas' pada sheet 06B selesai.</t>
  </si>
  <si>
    <t>10. TENTANG DATASET PENGGANTI</t>
  </si>
  <si>
    <t>Dataset pengganti dikirim terpisah sebagai Dataset_AI_Finance_Forum_v1.xlsx.</t>
  </si>
  <si>
    <t>Isinya 3 legal entity, 24 toko, 120 item, 12 kategori, 25.588 baris penjualan dari Jan 2025 sampai Sep 2026,</t>
  </si>
  <si>
    <t>2.016 faktur piutang, 630 faktur utang usaha berikut kasus kebocoran yang nyata, dan proyeksi kas 13 minggu</t>
  </si>
  <si>
    <t>yang dibangun baris per baris. Semuanya berasal dari satu ledger.</t>
  </si>
  <si>
    <t>Sheet 90_Reconciliation pada file tersebut berisi 14 pemeriksaan hidup, dan keempat belasnya lulus.</t>
  </si>
  <si>
    <t>Angkanya sengaja didekatkan ke cerita Anda saat ini: pendapatan sekitar 46.500 mn per bulan, gross margin</t>
  </si>
  <si>
    <t>sekitar 25%, opex sekitar 16% dari pendapatan, EBITDA sekitar 8,7%, DSO 62 hari terhadap target 47 hari, dan</t>
  </si>
  <si>
    <t>satu titik tekanan kas yang jelas. Storyline Anda tidak perlu ditulis ulang.</t>
  </si>
  <si>
    <t>11. ASUMSI YANG SAYA AMBIL, MOHON DIKONFIRMASI KE KLIEN</t>
  </si>
  <si>
    <t>- Buffer kas minimum IDR 8.000 mn.</t>
  </si>
  <si>
    <t>- Target DSO 47 hari.</t>
  </si>
  <si>
    <t>- Kurs spot IDR 17.950 per USD, dengan skenario pelemahan 3%.</t>
  </si>
  <si>
    <t>Ketiga asumsi ini ditandai kuning di workbook dataset.</t>
  </si>
  <si>
    <t>Testing listing - findings tracker</t>
  </si>
  <si>
    <t>AI Finance Forum mockup. Reviewed 28 July 2026 against the live API. Update Status, Target date and Retest columns as fixes land.</t>
  </si>
  <si>
    <t>ID</t>
  </si>
  <si>
    <t>Date found</t>
  </si>
  <si>
    <t>Type</t>
  </si>
  <si>
    <t>Demo blocker</t>
  </si>
  <si>
    <t>Finding</t>
  </si>
  <si>
    <t>Evidence observed</t>
  </si>
  <si>
    <t>Expected behaviour</t>
  </si>
  <si>
    <t>Likely root cause</t>
  </si>
  <si>
    <t>Fix owner</t>
  </si>
  <si>
    <t>Target date</t>
  </si>
  <si>
    <t>Retest date</t>
  </si>
  <si>
    <t>Retest result</t>
  </si>
  <si>
    <t>Notes</t>
  </si>
  <si>
    <t>QC-001</t>
  </si>
  <si>
    <t>2026-07-28</t>
  </si>
  <si>
    <t>Data</t>
  </si>
  <si>
    <t>Yes</t>
  </si>
  <si>
    <t>Leakage category chart returns all zeros</t>
  </si>
  <si>
    <t>GET /api/html/dashboard/finance.leakage returns views.categories.data with every value 0.0 (Bank-change fraud 0, Duplicate payment 0, Overbilling 0, Lost discount 0, Split/threshold 0). The side donut 'Leakage mix' is also all zeros, the worklist Amount column is '0' for all 10 rows, and the vendor radar 'At risk' column is '0' for all 8 vendors. Meanwhile the KPI tiles show 7,845 / 3,800 / 3,050 / 4,300.</t>
  </si>
  <si>
    <t>Category amounts should sum to the 7,845 mn shown on the 'Flagged this cycle' KPI.</t>
  </si>
  <si>
    <t>The amount column is not mapped for import batch 17. Aggregate KPIs are computed from a different query than the per-category breakdown.</t>
  </si>
  <si>
    <t>Backend / data</t>
  </si>
  <si>
    <t>2026-07-31</t>
  </si>
  <si>
    <t>QC-002</t>
  </si>
  <si>
    <t>Architecture</t>
  </si>
  <si>
    <t>The four agents run on four unrelated data batches</t>
  </si>
  <si>
    <t>import_batch_id is 19 for Finance, 17 for Leakage, 11 for Collection and 2 for Treasury.</t>
  </si>
  <si>
    <t>One shared ledger, so any number can be traced across agents.</t>
  </si>
  <si>
    <t>No single source of truth. Each agent was seeded independently.</t>
  </si>
  <si>
    <t>QC-003</t>
  </si>
  <si>
    <t>Formula</t>
  </si>
  <si>
    <t>Collection revenue base is about 15 times the Finance revenue</t>
  </si>
  <si>
    <t>Collection raw.summary.annual_credit_sales_idr_mn = 700,000. Finance KPI revenue = 46,510. AR of 110,000 is 2.4 times the entire Finance annual revenue.</t>
  </si>
  <si>
    <t>DSO must be divided by the same revenue the Finance agent reports.</t>
  </si>
  <si>
    <t>Two unrelated seed datasets (see the batch finding above).</t>
  </si>
  <si>
    <t>QC-004</t>
  </si>
  <si>
    <t>Deferral action moves headroom the wrong way</t>
  </si>
  <si>
    <t>Action 'Defer noncritical Week 5 payable' shows impact 'week6 headroom: 1012.5 +3000 -&gt; 4012.5'. Moving a payable INTO Week 6 must reduce Week 6 headroom, not increase it. Its own spec also claims Week 5 cash rises above IDR 10,000 mn; 6,997.5 + 3,000 = 9,997.5.</t>
  </si>
  <si>
    <t>Week 5 headroom -1,002.5 -&gt; +1,997.5 and Week 6 headroom 1,012.5 -&gt; -1,987.5, so the trade-off is visible.</t>
  </si>
  <si>
    <t>The impact string is authored text, not computed from the forecast. Sign and week label are both wrong.</t>
  </si>
  <si>
    <t>Backend / agent logic</t>
  </si>
  <si>
    <t>QC-005</t>
  </si>
  <si>
    <t>Action mixes headroom with closing cash in one before-and-after</t>
  </si>
  <si>
    <t>Action 'Accelerate Customer A collection' shows 'cash buffer: -1002.5 -&gt; +6997.5'. -1,002.5 is headroom, 6,997.5 is closing cash. Its own spec says recover at least IDR 1,100 mn, which would give +97.5 headroom.</t>
  </si>
  <si>
    <t>One unit per metric. Either headroom -1,002.5 -&gt; +97.5, or closing cash 6,997.5 -&gt; 8,097.5.</t>
  </si>
  <si>
    <t>Impact strings are free text with no unit validation.</t>
  </si>
  <si>
    <t>QC-006</t>
  </si>
  <si>
    <t>Content</t>
  </si>
  <si>
    <t>Conversation history is full of developer test messages</t>
  </si>
  <si>
    <t>GET /api/html/conversations returns roughly 190 saved conversations including 'test', 'asdsad', 'hello world', 'Test test test', 'selamat pagi', 'does all the right tools work?', 'gimme data', 'show me the cahrt'.</t>
  </si>
  <si>
    <t>A curated history containing only credible CFO questions, or the history panel hidden for the event.</t>
  </si>
  <si>
    <t>No separation between the development environment and the demo environment.</t>
  </si>
  <si>
    <t>Demo owner</t>
  </si>
  <si>
    <t>QC-007</t>
  </si>
  <si>
    <t>High-risk KPI and the risk tier chart disagree on the same screen</t>
  </si>
  <si>
    <t>KPI 'High-risk exposure' = 2,500 mn with the label 'provision / high tier'. The 'Risk exposure by tier' chart shows High = 5,000 mn.</t>
  </si>
  <si>
    <t>Either the KPI is renamed 'High-risk provision', or it shows 5,000 to match the chart.</t>
  </si>
  <si>
    <t>The KPI reads the provision field while the chart reads the exposure field. Same label, two meanings.</t>
  </si>
  <si>
    <t>2026-08-04</t>
  </si>
  <si>
    <t>QC-008</t>
  </si>
  <si>
    <t>Definition</t>
  </si>
  <si>
    <t>'Top 5' is defined three different ways inside one agent</t>
  </si>
  <si>
    <t>Options chart 'Top 5 - 46d' uses worklist rows 1 to 5 (21,300 mn recovery). Alert 'DSO gap and overdue concentration' uses top 5 by overdue amount (27,000 mn, 71.17%). Alert 'Mid-tier accounts can unlock most DSO gap' uses top 5 by expected recovery (23,225 mn).</t>
  </si>
  <si>
    <t>One definition, stated on screen.</t>
  </si>
  <si>
    <t>Each surface computes its own ranking.</t>
  </si>
  <si>
    <t>QC-009</t>
  </si>
  <si>
    <t>Two different EBITDA margin targets are in use</t>
  </si>
  <si>
    <t>The KPI tile and the simulator gauge both say 'target 15%'. The alert 'Price recovery opportunity' says the budget margin is 15.7% (budget EBITDA 7,200 / budget revenue 46,000 = 15.65%).</t>
  </si>
  <si>
    <t>One target. If budget is the reference, use 15.7% everywhere.</t>
  </si>
  <si>
    <t>The gauge target is hardcoded to a round 15% while the alerts compute it from the budget.</t>
  </si>
  <si>
    <t>QC-010</t>
  </si>
  <si>
    <t>Price variance is roughly ten times too small for the stated price decline</t>
  </si>
  <si>
    <t>Alerts state blended price fell 7.6%, from IDR 127.7k to IDR 118.0k per unit. The EBITDA waterfall shows a price step of only -390 mn on revenue of 46,510 mn. A 7.6% blended price decline implies roughly -3,800 mn.</t>
  </si>
  <si>
    <t>The price step and the stated percentage decline must be derived from the same calculation.</t>
  </si>
  <si>
    <t>The waterfall steps and the alert narrative are generated from different sources. Needs verification against the underlying model.</t>
  </si>
  <si>
    <t>QC-011</t>
  </si>
  <si>
    <t>COGS variance is stated as two different numbers</t>
  </si>
  <si>
    <t>Alerts and actions use IDR 2,930 mn of COGS overrun. The EBITDA waterfall shows the Cost and FX step as -1,880 mn.</t>
  </si>
  <si>
    <t>One cost variance figure across the waterfall, the alerts and the action cards.</t>
  </si>
  <si>
    <t>The waterfall may net FX into cost while the alert reports gross cost. Not reconciled either way.</t>
  </si>
  <si>
    <t>QC-012</t>
  </si>
  <si>
    <t>No</t>
  </si>
  <si>
    <t>Two near-identical numbers mean two different things</t>
  </si>
  <si>
    <t>Cost and FX step = -1,880 mn. Mix plus price = -1,491 + -390 = -1,881 mn, and an alert reports 'IDR 1,881mn combined profitability loss'.</t>
  </si>
  <si>
    <t>Separate the two on screen, or round them differently so they cannot be confused live.</t>
  </si>
  <si>
    <t>Coincidence in the seed data, but it will cause confusion on stage.</t>
  </si>
  <si>
    <t>The bar labelled 'Current 95%' does not show the current position</t>
  </si>
  <si>
    <t>In the Leakage 'Recovery scenario' chart the third bar is labelled 'Current 95%' and equals 7,577.5. It applies 95% to duplicates and overbilling together. The real current position applies 95% to duplicates and 90% to overbilling, which gives 7,557.5. That is the figure the 'Total protected' KPI (7,558) and the side chart 'Protected vs at risk' (7,557.5) both carry. Difference = 400 x 5% = 20 mn. IMPORTANT: this is not visible to the eye. The KPI and the side chart agree with each other, so a side-by-side glance looks correct. Only the recovery chart differs, and 20 out of 7,578 is 0.26%. It surfaces in a tooltip, a data label, or when someone asks the agent for the number.</t>
  </si>
  <si>
    <t>The 'Current' bar uses the same assumption set as the KPI and reads 7,557.5. Alternatively rename the bar to '95% across the board' so it stops claiming to be the current position.</t>
  </si>
  <si>
    <t>The recovery chart hardcodes one claw-back rate across all recoverable items. The simulator baseline uses two separate rates. Neither is wrong on its own; the label 'Current' is what makes the chart incorrect.</t>
  </si>
  <si>
    <t>2026-08-11</t>
  </si>
  <si>
    <t>Severity lowered from High to Medium on 28 Jul 2026 after re-checking with Susan. Reason: the gap is not visible to the eye and is not a demo blocker. The defect is still real and still needs fixing.</t>
  </si>
  <si>
    <t>QC-014</t>
  </si>
  <si>
    <t>Flag count on the KPI does not match the tables</t>
  </si>
  <si>
    <t>KPI 'Flagged this cycle' says '22 flags'. The action worklist lists 10 rows and the vendor radar totals 10 flags across 8 vendors.</t>
  </si>
  <si>
    <t>The count on the KPI equals the number of rows a user can actually open.</t>
  </si>
  <si>
    <t>The KPI counts raw exceptions while the tables show a filtered top-N with no 'showing 10 of 22' label.</t>
  </si>
  <si>
    <t>QC-015</t>
  </si>
  <si>
    <t>Split-invoice exposure sits in the chart but outside the total</t>
  </si>
  <si>
    <t>At risk = 7,845 = fraud 3,800 + duplicates 3,050 + overbilling 400 + other blocked 500 + lost 95. The alert 'Split invoice threshold evasion' reports IDR 1,950 mn, and 'Split / threshold' is one of the five chart categories, yet 1,950 is not in the 7,845.</t>
  </si>
  <si>
    <t>Either at risk becomes 9,795, or split invoices are excluded from the chart and explained.</t>
  </si>
  <si>
    <t>The at-risk aggregate was built before split-threshold detection was added.</t>
  </si>
  <si>
    <t>QC-016</t>
  </si>
  <si>
    <t>Action impact does not match its own recommendation</t>
  </si>
  <si>
    <t>Action 'Accelerate top overdue collections' spec says collect at least IDR 20,000 mn. Impact says 'DSO: 57.36 -5.21 -&gt; 52.14'. -5.21 days corresponds to 10,000 mn (10,000 / 1,917.8). 20,000 mn gives -10.43 days.</t>
  </si>
  <si>
    <t>Impact recomputed from the amount in the spec.</t>
  </si>
  <si>
    <t>Impact string copied from a different action.</t>
  </si>
  <si>
    <t>QC-017</t>
  </si>
  <si>
    <t>Combined action shows only part of its own effect</t>
  </si>
  <si>
    <t>Action 'Bridge Week 5 funding gap' spec says accelerate 2,000 mn plus defer 3,000 mn, which is 5,000 mn. Impact shows 'headroom: -1002.5 -&gt; +1997.5', a movement of only 3,000 mn.</t>
  </si>
  <si>
    <t>-1,002.5 -&gt; +3,997.5.</t>
  </si>
  <si>
    <t>Only the deferral leg is being computed.</t>
  </si>
  <si>
    <t>QC-018</t>
  </si>
  <si>
    <t>Labelling</t>
  </si>
  <si>
    <t>Action labels the top-2 concentration as the overall overdue share</t>
  </si>
  <si>
    <t>Action 'Escalate concentrated exposures' shows 'Overdue share: 43.5% -10% -&gt; 33.5%'. The dashboard overdue share is 34.5% (37,935 / 110,000). 43.5% is the top-2 share of overdue (16,500 / 37,935).</t>
  </si>
  <si>
    <t>Label it 'Top-2 share of overdue'.</t>
  </si>
  <si>
    <t>Reused metric name for a different denominator.</t>
  </si>
  <si>
    <t>QC-019</t>
  </si>
  <si>
    <t>Credit line action is anchored to the wrong week</t>
  </si>
  <si>
    <t>Action 'Pre-arrange contingent credit capacity' uses baseline 1,012.5, which is Week 6 headroom. The breach is in Week 5 at -1,002.5. Its spec then targets a buffer above 4,000 mn.</t>
  </si>
  <si>
    <t>Baseline -1,002.5 (Week 5), result +1,997.5 after a 3,000 mn draw.</t>
  </si>
  <si>
    <t>Wrong week selected as the baseline.</t>
  </si>
  <si>
    <t>QC-020</t>
  </si>
  <si>
    <t>Integration</t>
  </si>
  <si>
    <t>Agent keys are inconsistent between endpoints</t>
  </si>
  <si>
    <t>/api/html/agents returns finance.collection and finance.treasury. The dashboard payload returns agent 'collections' and 'treasury'. /api/actions and /api/alerts use 'collection' and 'cashflow'.</t>
  </si>
  <si>
    <t>One canonical key per agent across every endpoint.</t>
  </si>
  <si>
    <t>Naming drift between the agent registry, the dashboard service and the alert or action service. Any join on agent name will silently return an empty list for Treasury.</t>
  </si>
  <si>
    <t>Backend</t>
  </si>
  <si>
    <t>QC-021</t>
  </si>
  <si>
    <t>47 action cards with heavy duplication</t>
  </si>
  <si>
    <t>Finance has at least five near-identical actions to rebalance mix toward higher-margin SKUs. Leakage has three near-identical 'Launch duplicate payment recovery' cards. Collection has four cards on the same two customers.</t>
  </si>
  <si>
    <t>Deduplicate to roughly three to five distinct actions per agent for the demo.</t>
  </si>
  <si>
    <t>Actions are generated per alert with no clustering step, and the alerts are themselves duplicated.</t>
  </si>
  <si>
    <t>QC-022</t>
  </si>
  <si>
    <t>Logic</t>
  </si>
  <si>
    <t>Action impacts stack with no double-count guard</t>
  </si>
  <si>
    <t>Approving the Finance set adds +1,500, +1,000, +390, +300 and two percentage-point moves to the same EBITDA base of 4,300, and several of them address the same driver.</t>
  </si>
  <si>
    <t>A portfolio view that nets overlapping actions and shows a single combined impact.</t>
  </si>
  <si>
    <t>Each action is scored in isolation against the baseline.</t>
  </si>
  <si>
    <t>QC-023</t>
  </si>
  <si>
    <t>47 alerts telling roughly eight distinct stories</t>
  </si>
  <si>
    <t>Finance has 12 alerts, essentially all describing mix, price and cost. Cashflow has 12 restating the Week 5 breach.</t>
  </si>
  <si>
    <t>Cluster to one alert per underlying issue with a severity ranking.</t>
  </si>
  <si>
    <t>No deduplication in the alert generator.</t>
  </si>
  <si>
    <t>QC-024</t>
  </si>
  <si>
    <t>Chart</t>
  </si>
  <si>
    <t>The Leakage agent opens on an empty chart</t>
  </si>
  <si>
    <t>default_view is 'categories', which is the all-zero chart described in the first finding.</t>
  </si>
  <si>
    <t>Open on a populated view.</t>
  </si>
  <si>
    <t>Same root cause as the zero-amount issue.</t>
  </si>
  <si>
    <t>QC-025</t>
  </si>
  <si>
    <t>FX action states exposure falls to the hedge amount</t>
  </si>
  <si>
    <t>Action 'Increase near-term FX protection' shows 'FX exposure: 3.3m -1.3m -&gt; 2.0m'. Hedging the unhedged 1.3M should take unhedged exposure from 1.3M to zero, or coverage from 61% to 100%. As written, 2.0M is the hedge amount, not the residual exposure.</t>
  </si>
  <si>
    <t>'Unhedged exposure: USD 1.3m -&gt; USD 0' or 'Coverage: 61% -&gt; 100%'.</t>
  </si>
  <si>
    <t>Confuses gross exposure with hedged notional.</t>
  </si>
  <si>
    <t>QC-026</t>
  </si>
  <si>
    <t>Recovery rate ignores how old the debt is</t>
  </si>
  <si>
    <t>Expected recovery is driven only by risk tier: High 40%, Medium 85%, Low 95%. CV Berkah Jaya at 90+ days recovers at 40% while PT Sumber Makmur at 61-90 days recovers at 85%, the same rate as a 31-60 day account.</t>
  </si>
  <si>
    <t>Recovery rate should be a function of both tier and ageing bucket.</t>
  </si>
  <si>
    <t>Single-factor recovery model.</t>
  </si>
  <si>
    <t>QC-027</t>
  </si>
  <si>
    <t>One margin percentage rounds down where others round normally</t>
  </si>
  <si>
    <t>Precision gross margin displays 36.2%. 4,930 / 13,600 = 36.25%, which should display 36.3%. Industrial 23.81% -&gt; 23.8 and Standard 16.67% -&gt; 16.7 both round correctly.</t>
  </si>
  <si>
    <t>Consistent rounding, half up.</t>
  </si>
  <si>
    <t>Truncation rather than rounding on this path.</t>
  </si>
  <si>
    <t>Frontend</t>
  </si>
  <si>
    <t>QC-028</t>
  </si>
  <si>
    <t>DSO gauge shows 120% progress on a metric where lower is better</t>
  </si>
  <si>
    <t>DSO KPI has progress 1.2 (57 / 47).</t>
  </si>
  <si>
    <t>Invert the gauge, or show days over target rather than a progress percentage.</t>
  </si>
  <si>
    <t>Generic progress calculation applied to an inverse metric.</t>
  </si>
  <si>
    <t>QC-029</t>
  </si>
  <si>
    <t>Formatting</t>
  </si>
  <si>
    <t>Inconsistent number formats in one KPI row</t>
  </si>
  <si>
    <t>'Net USD exposure 3.3 M USD' sits next to 'Recommended hedge 2,000,000 USD'. The Week 5 shortfall appears as 1,002, 1,002.5 and 1,003 in different places.</t>
  </si>
  <si>
    <t>One format per unit across the app.</t>
  </si>
  <si>
    <t>No shared formatting helper.</t>
  </si>
  <si>
    <t>QC-030</t>
  </si>
  <si>
    <t>Action labels a two-customer balance as total overdue AR</t>
  </si>
  <si>
    <t>Action 'Tighten exposure controls' shows 'Overdue AR: 16500 -3000 -&gt; 13500'. Total overdue AR is 37,935. 16,500 is the top two customers.</t>
  </si>
  <si>
    <t>'Top-2 overdue: 16,500 -&gt; 13,500'.</t>
  </si>
  <si>
    <t>Reused metric name.</t>
  </si>
  <si>
    <t>QC-031</t>
  </si>
  <si>
    <t>Action uses the annualised figure while the dashboard shows the cycle figure</t>
  </si>
  <si>
    <t>Action 'Tighten early-payment discount capture' shows 'Discount leakage: 2470 -50% -&gt; 1235'. The dashboard 'Lost' amount is 95 mn. The alert clarifies 95 mn per cycle annualises to 2,470 mn.</t>
  </si>
  <si>
    <t>State the basis on the card: 'Discount leakage (annualised)'.</t>
  </si>
  <si>
    <t>No period label on impact strings.</t>
  </si>
  <si>
    <t>QC-032</t>
  </si>
  <si>
    <t>The same 900 mn appears under three different names</t>
  </si>
  <si>
    <t>Alerts call it 'IDR 900mn excess vs PO/GRN'. The simulator baseline splits it as overbill_amount 400 and other_blocked 500. An action calls it 'overbilling risk: 900mn'.</t>
  </si>
  <si>
    <t>One name, with the split shown as a breakdown underneath.</t>
  </si>
  <si>
    <t>Field naming drift.</t>
  </si>
  <si>
    <t>QC-033</t>
  </si>
  <si>
    <t>Two charts on the same screen order the same pair in opposite directions</t>
  </si>
  <si>
    <t>Main 'prize' chart plots Now then Target. The side chart 'DSO vs target' plots Target then Now.</t>
  </si>
  <si>
    <t>One order.</t>
  </si>
  <si>
    <t>Independently authored chart configs.</t>
  </si>
  <si>
    <t>QC-034</t>
  </si>
  <si>
    <t>A zero bar next to a value bar reads as a rendering failure</t>
  </si>
  <si>
    <t>The 'FX impact if we do nothing' chart plots Base = 0 against Adverse = 1,777.05.</t>
  </si>
  <si>
    <t>Show a single value with a reference line, or label the zero bar explicitly.</t>
  </si>
  <si>
    <t>Chart type choice.</t>
  </si>
  <si>
    <t>QC-035</t>
  </si>
  <si>
    <t>No chart states its period</t>
  </si>
  <si>
    <t>None of the four dashboards labels whether a figure is monthly, year to date or full year.</t>
  </si>
  <si>
    <t>Every chart title carries the period, for example 'Oct 2025 to Sep 2026'.</t>
  </si>
  <si>
    <t>Period is not part of the payload.</t>
  </si>
  <si>
    <t>Frontend + backend</t>
  </si>
  <si>
    <t>QC-036</t>
  </si>
  <si>
    <t>The side chart duplicates the main chart exactly</t>
  </si>
  <si>
    <t>side.top 'Margin by product' has identical data to the 'product' view.</t>
  </si>
  <si>
    <t>Use the side slot for something the main view does not show.</t>
  </si>
  <si>
    <t>Layout placeholder never replaced.</t>
  </si>
  <si>
    <t>QC-037</t>
  </si>
  <si>
    <t>The cash chart cannot answer why Week 5 is low</t>
  </si>
  <si>
    <t>The forecast view carries closing balance only, with no inflow or outflow detail.</t>
  </si>
  <si>
    <t>Weekly inflows, outflows and the largest lines behind them, so the obvious follow-up question is answerable on screen.</t>
  </si>
  <si>
    <t>Only the balance series is stored.</t>
  </si>
  <si>
    <t>Backend + frontend</t>
  </si>
  <si>
    <t>QC-038</t>
  </si>
  <si>
    <t>Worklist bucket column attributes a whole balance to the oldest bucket</t>
  </si>
  <si>
    <t>PT Anugerah Prima shows 10,000 in the '31-60 days' bucket while the ageing chart splits amounts across all five buckets.</t>
  </si>
  <si>
    <t>Label it 'Oldest bucket', or split the customer balance by bucket.</t>
  </si>
  <si>
    <t>Column shows max ageing, header does not say so.</t>
  </si>
  <si>
    <t>2026-08-18</t>
  </si>
  <si>
    <t>QC-039</t>
  </si>
  <si>
    <t>The word 'illustrative' is exposed in the payload</t>
  </si>
  <si>
    <t>The Finance simulator sets illustrative: true, a note reads 'Illustrative breakdown; profit_summary has no opex line columns in this batch', the FX chart is titled 'FX sensitivity (illustrative)', the vendor score note says 'Score is illustrative (0-100)' and the hedge table note mentions 'an illustrative 170 IDR/USD forward spread'.</t>
  </si>
  <si>
    <t>Remove developer notes from anything a CFO can see. Keep a single tasteful 'demo data' badge if disclosure is needed.</t>
  </si>
  <si>
    <t>Debug notes left in the response model.</t>
  </si>
  <si>
    <t>QC-040</t>
  </si>
  <si>
    <t>It is unclear whether the customer delay is already in the forecast</t>
  </si>
  <si>
    <t>An alert says a customer delayed IDR 8,000 mn from Week 5 to Week 7. If that delay is already inside the baseline, Week 5 would otherwise be 14,997.5 and there would be no breach at all.</t>
  </si>
  <si>
    <t>State plainly whether the forecast is before or after the delay.</t>
  </si>
  <si>
    <t>Baseline definition not documented.</t>
  </si>
  <si>
    <t>QC-041</t>
  </si>
  <si>
    <t>Alert title names Week 5 but carries Week 6 data</t>
  </si>
  <si>
    <t>Alert 'Week 5 cash headroom critically thin' cites 9,012.5 closing and 1,012.5 headroom, which are Week 6 values.</t>
  </si>
  <si>
    <t>Title matches the week in the evidence.</t>
  </si>
  <si>
    <t>Template variable mismatch.</t>
  </si>
  <si>
    <t>QC-042</t>
  </si>
  <si>
    <t>Starter prompts do not show the strongest part of the story</t>
  </si>
  <si>
    <t>The eight starter prompts are all single-agent. None triggers routing from one agent to another, which is the differentiator.</t>
  </si>
  <si>
    <t>Add prompts such as 'Which agent should fix the margin problem?' and 'If Collection pulls cash forward, what happens to Week 5?'</t>
  </si>
  <si>
    <t>Prompt library written per agent in isolation.</t>
  </si>
  <si>
    <t>QC-043</t>
  </si>
  <si>
    <t>Feature</t>
  </si>
  <si>
    <t>The app has no filters at all</t>
  </si>
  <si>
    <t>No endpoint accepts a filter parameter. There is no legal entity, period, store, category, customer, vendor, currency or scenario filter anywhere.</t>
  </si>
  <si>
    <t>At minimum: legal entity, period, comparison basis, store, category, customer, risk tier, ageing bucket, vendor, leakage type, week and commitment type.</t>
  </si>
  <si>
    <t>Filtering was never in scope for the mockup.</t>
  </si>
  <si>
    <t>QC-044</t>
  </si>
  <si>
    <t>Dataset is far below the volume the client asked for</t>
  </si>
  <si>
    <t>Collection shows 8 customers, Leakage shows 8 vendors and 10 transactions, Finance shows 3 product lines. There is no store, item, category or legal entity dimension anywhere in the payload.</t>
  </si>
  <si>
    <t>Minimum 3 legal entities, 20 stores, 100 items, a full category range and monthly data through Sep 2026.</t>
  </si>
  <si>
    <t>Mockup was seeded with hand-written illustrative rows.</t>
  </si>
  <si>
    <t>QC-045</t>
  </si>
  <si>
    <t>Untested</t>
  </si>
  <si>
    <t>Interactive behaviour could not be verified remotely</t>
  </si>
  <si>
    <t>Buttons, menus, tab switching, simulator sliders, action approve and simulate, chat send and export are all POST or client-side. They cannot be exercised through the read-only API surface available from outside.</t>
  </si>
  <si>
    <t>Run sheet 02 manually against the live app and record the result.</t>
  </si>
  <si>
    <t>Not a defect. A scope limit of this review.</t>
  </si>
  <si>
    <t>QC-046</t>
  </si>
  <si>
    <t>Vendor risk score ignores amount and severity</t>
  </si>
  <si>
    <t>Every vendor scores exactly flags x 20. Osaka Precision KK has 2 flags and scores 40. A vendor with a single lost-discount flag of a few million scores 20, the same as a vendor with a single suspected fraud flag of 3,800 mn.</t>
  </si>
  <si>
    <t>Score weighted by exposure and severity, so the fraud case ranks first.</t>
  </si>
  <si>
    <t>Placeholder scoring formula, flagged as illustrative in the payload note.</t>
  </si>
  <si>
    <t>QC-047</t>
  </si>
  <si>
    <t>Treasury collection lever is not linked to the Collection book</t>
  </si>
  <si>
    <t>The Treasury simulator caps 'Accelerate collection' at IDR 8,000 mn. The Collection agent says the single largest customer alone frees 8,500 mn and all overdue frees 32,163 mn.</t>
  </si>
  <si>
    <t>The Treasury lever maximum should be derived from the Collection worklist, and pulling cash in Treasury should reduce AR in Collection.</t>
  </si>
  <si>
    <t>The two simulators are independent, so the cross-agent handover is narrative only, not computed.</t>
  </si>
  <si>
    <t>QC-048</t>
  </si>
  <si>
    <t>The mockup and the deployed app disagree on the numbers</t>
  </si>
  <si>
    <t>The standalone file 03_CFO_FinanceAI_Suite_Mockup_v9.4 and the deployed Azure app carry different figures. Week 5 cash: 6,698 vs 6,997.5. Forecast length: 14 weeks vs 13. Week 5 shortfall: -1,302 vs -1,002.5. Leakage category chart: populated vs all zeros. Recovery chart third bar: live 'Now' vs hardcoded 'Current 95%'. CLARIFIED 28 Jul: the Azure link is the build under test; the HTML file is the design reference that gets its dataset refreshed. So this is not two competing products, it is a reference that the app has drifted away from.</t>
  </si>
  <si>
    <t>After both are updated to the replacement dataset, the app's figures should match the reference mockup. Any remaining difference should be a deliberate, documented choice.</t>
  </si>
  <si>
    <t>The two tracks were updated at different times. The HTML reference is ahead of the deployed app on at least two fixes (leakage categories, recovery bar).</t>
  </si>
  <si>
    <t>Demo owner + Backend</t>
  </si>
  <si>
    <t>Re-graded from Critical to Medium on 28 Jul 2026 after Susan clarified the roles: the Azure link is what gets tested, the mockup only needs its dataset refreshed. Not a demo blocker because the HTML is not shown to the audience. Still worth tracking so the app does not keep drifting from its own reference. An updated mockup carrying the replacement dataset was delivered as v10.0.</t>
  </si>
  <si>
    <t>QC-049</t>
  </si>
  <si>
    <t>Feature gap</t>
  </si>
  <si>
    <t>No formula explanation panel anywhere in the app</t>
  </si>
  <si>
    <t>The mockup carries an info registry of about 40 entries. Every KPI, chart, table row and simulator stat has an (i) icon that opens the plain-language meaning plus the exact formula, for example 'Closing = Opening + Net cash flow; W5 = 5,789 vs 8,000 buffer'. The Azure dashboard payload has no equivalent field, and openapi.json exposes no endpoint for it.</t>
  </si>
  <si>
    <t>Every element on screen can explain its own number on demand, with the formula shown.</t>
  </si>
  <si>
    <t>The deployed app was built to a narrower scope than the reference mockup.</t>
  </si>
  <si>
    <t>Added 28 Jul 2026 from a feature comparison of mockup v10.0 against the Azure openapi.json endpoint list.</t>
  </si>
  <si>
    <t>QC-050</t>
  </si>
  <si>
    <t>No guided story mode</t>
  </si>
  <si>
    <t>The mockup has a 'Play the CFO story' control that walks the whole narrative automatically. The Azure app has no equivalent. openapi.json shows chat, dashboard, simulators, alerts and actions only.</t>
  </si>
  <si>
    <t>A scripted guided run, so the demo does not depend on live typing and can be repeated identically.</t>
  </si>
  <si>
    <t>QC-051</t>
  </si>
  <si>
    <t>Simulator cannot save, load or compare a scenario</t>
  </si>
  <si>
    <t>The mockup has Save scenario, a Load scenario dropdown and Compare (n). The Azure app exposes only four recalculate endpoints, with no persistence and no comparison.</t>
  </si>
  <si>
    <t>At least save one scenario and compare it against the baseline side by side.</t>
  </si>
  <si>
    <t>2026-08-08</t>
  </si>
  <si>
    <t>QC-052</t>
  </si>
  <si>
    <t>Simulator has no presets</t>
  </si>
  <si>
    <t>The mockup offers four named presets per agent, for example 'Recommended: cover 1.8M @ +3%' and 'Base (95% dup / 90% overbill)'. The Azure simulator payload carries inputs and baseline only.</t>
  </si>
  <si>
    <t>Three to four named presets per agent, so the presenter never has to drag sliders precisely on camera.</t>
  </si>
  <si>
    <t>QC-053</t>
  </si>
  <si>
    <t>Simulator has no scope selector</t>
  </si>
  <si>
    <t>The mockup lets the user switch between All lines and FX lines, so a lever can be applied to part of the portfolio. The Azure simulator applies every lever to everything.</t>
  </si>
  <si>
    <t>A scope control, or a clear statement on screen that levers apply to the whole book.</t>
  </si>
  <si>
    <t>QC-054</t>
  </si>
  <si>
    <t>KPI tiles have no trend sparkline</t>
  </si>
  <si>
    <t>Every mockup KPI carries a five-point sparkline. The Azure KPI object has id, view, label, value, unit, delta, alert, value_num, target_num, progress and status, with no trend series.</t>
  </si>
  <si>
    <t>A short trend series on each KPI, so a CFO sees direction without opening a chart.</t>
  </si>
  <si>
    <t>QC-055</t>
  </si>
  <si>
    <t>Actions carry no confidence level</t>
  </si>
  <si>
    <t>The mockup labels each recommendation, for example 'High confidence' or 'Medium, customer must agree'. The Azure action object has id, action, agent, routes, alert_id, status, spec, impact, simulation_summary and created_at, with no confidence field.</t>
  </si>
  <si>
    <t>A confidence level and its basis on every action. A CFO will not approve a recommendation that will not say how sure it is.</t>
  </si>
  <si>
    <t>QC-056</t>
  </si>
  <si>
    <t>No visible cascade when an action executes</t>
  </si>
  <si>
    <t>The mockup animates the routing, showing each recipient picking the task up in turn. The Azure app has an approve endpoint that returns a status, with nothing to watch.</t>
  </si>
  <si>
    <t>A visible execution trail across the recipients. This is the single strongest agentic moment in the demo and it currently has no visual.</t>
  </si>
  <si>
    <t>QC-057</t>
  </si>
  <si>
    <t>No status notification feed</t>
  </si>
  <si>
    <t>The mockup has a bell with a live feed of what the agent did and what awaits approval, plus toast pop-ups. Azure has alerts, which are findings, not activity. There is no endpoint for agent activity.</t>
  </si>
  <si>
    <t>A separate activity feed, distinct from alerts, showing what the agent executed and when.</t>
  </si>
  <si>
    <t>QC-058</t>
  </si>
  <si>
    <t>No Bahasa Indonesia toggle</t>
  </si>
  <si>
    <t>The mockup has a Bahasa ON switch. The Azure app has no language parameter on any endpoint.</t>
  </si>
  <si>
    <t>A language switch. The audience is Indonesian, and being able to flip to Bahasa mid-demo is a differentiator no competitor will show.</t>
  </si>
  <si>
    <t>QC-059</t>
  </si>
  <si>
    <t>No reset to baseline</t>
  </si>
  <si>
    <t>The mockup has a Reset control that returns every lever and view to the opening state. Azure has DELETE /api/alerts and POST /api/alerts/populate, which clear and reseed alerts, but nothing that resets the simulators.</t>
  </si>
  <si>
    <t>One control that returns the whole app to its opening state. Without it you cannot record several clean takes.</t>
  </si>
  <si>
    <t>QC-060</t>
  </si>
  <si>
    <t>No exact-parameter calculation flow</t>
  </si>
  <si>
    <t>The mockup has 'Calculate exactly with my parameters', where the CFO supplies their own assumptions and the agent recomputes and shows the working. Azure has chat and the recalculate endpoints, but no flow that binds the two.</t>
  </si>
  <si>
    <t>A path from a CFO-supplied assumption straight into a recalculated, shown-working answer.</t>
  </si>
  <si>
    <t>QC-061</t>
  </si>
  <si>
    <t>Next best action cards are not on the dashboard</t>
  </si>
  <si>
    <t>The mockup puts two next best action cards at the bottom of every agent view, each executable in one click. On Azure, actions live behind a separate list and are not surfaced next to the chart that caused them.</t>
  </si>
  <si>
    <t>One or two next best actions on the dashboard itself, next to the evidence.</t>
  </si>
  <si>
    <t>QC-062</t>
  </si>
  <si>
    <t>Chat cannot be verified to render charts and tables</t>
  </si>
  <si>
    <t>The mockup answers a CFO challenge with a rendered chart plus a table and a confidence badge. The Azure chat endpoint is POST only and cannot be exercised from a read-only review, so this is unknown rather than confirmed missing.</t>
  </si>
  <si>
    <t>Confirm by running manual test MT-019. If chat returns text only, this becomes a real gap.</t>
  </si>
  <si>
    <t>Daftar temuan pengujian (Bahasa Indonesia)</t>
  </si>
  <si>
    <t>Nomor QC sama persis dengan sheet 01_Findings. Kolom kuning diisi oleh tim. Sheet 00_Summary menghitung dari sheet 01, jadi status wajib diperbarui di kedua sheet atau pilih satu sheet sebagai acuan.</t>
  </si>
  <si>
    <t>Tanggal temuan</t>
  </si>
  <si>
    <t>Tanggal uji ulang</t>
  </si>
  <si>
    <t>Hasil uji ulang</t>
  </si>
  <si>
    <t>a. Kesesuaian formula</t>
  </si>
  <si>
    <t>Kritis</t>
  </si>
  <si>
    <t>Ya</t>
  </si>
  <si>
    <t>Grafik kategori Leakage menampilkan nol semua</t>
  </si>
  <si>
    <t>Endpoint dashboard finance.leakage mengembalikan views.categories.data dengan semua nilai 0.0 (Bank-change fraud 0, Duplicate payment 0, Overbilling 0, Lost discount 0, Split/threshold 0). Donut 'Leakage mix' juga nol semua, kolom Amount pada worklist berisi '0' untuk 10 baris, dan kolom 'At risk' pada vendor radar berisi '0' untuk 8 vendor. Padahal KPI tile menampilkan 7.845 / 3.800 / 3.050 / 4.300.</t>
  </si>
  <si>
    <t>Jumlah per kategori harus sama dengan 7.845 mn yang tampil di KPI 'Flagged this cycle'.</t>
  </si>
  <si>
    <t>Kolom amount tidak ter-mapping untuk import batch 17. KPI agregat dihitung dari query yang berbeda dengan query rincian per kategori.</t>
  </si>
  <si>
    <t>Terbuka</t>
  </si>
  <si>
    <t>Semua agent</t>
  </si>
  <si>
    <t>Arsitektur</t>
  </si>
  <si>
    <t>Empat agent berjalan di atas empat batch data yang tidak berhubungan</t>
  </si>
  <si>
    <t>import_batch_id = 19 untuk Finance, 17 untuk Leakage, 11 untuk Collection, dan 2 untuk Treasury.</t>
  </si>
  <si>
    <t>Satu ledger bersama, sehingga setiap angka bisa ditelusuri lintas agent.</t>
  </si>
  <si>
    <t>Tidak ada single source of truth. Setiap agent di-seed secara terpisah.</t>
  </si>
  <si>
    <t>Basis pendapatan Collection sekitar 15 kali lipat pendapatan Finance</t>
  </si>
  <si>
    <t>Collection raw.summary.annual_credit_sales_idr_mn = 700.000. KPI revenue Finance = 46.510. Piutang 110.000 setara 2,4 kali seluruh pendapatan tahunan Finance.</t>
  </si>
  <si>
    <t>DSO harus dibagi dengan pendapatan yang sama dengan yang dilaporkan agent Finance.</t>
  </si>
  <si>
    <t>Dua dataset seed yang tidak berhubungan (lihat temuan batch di atas).</t>
  </si>
  <si>
    <t>Aksi penundaan pembayaran menggerakkan headroom ke arah yang salah</t>
  </si>
  <si>
    <t>Aksi 'Defer noncritical Week 5 payable' menampilkan dampak 'week6 headroom: 1012.5 +3000 -&gt; 4012.5'. Memindahkan utang KE Minggu 6 seharusnya MENURUNKAN headroom Minggu 6, bukan menaikkan. Spec-nya juga mengklaim kas Minggu 5 naik di atas IDR 10.000 mn, padahal 6.997,5 + 3.000 = 9.997,5.</t>
  </si>
  <si>
    <t>Headroom Minggu 5: -1.002,5 -&gt; +1.997,5 dan headroom Minggu 6: 1.012,5 -&gt; -1.987,5, sehingga trade-off-nya terlihat.</t>
  </si>
  <si>
    <t>Teks dampak ditulis manual, bukan dihitung dari forecast. Tanda (+/-) dan label minggu dua-duanya salah.</t>
  </si>
  <si>
    <t>Backend / logika agent</t>
  </si>
  <si>
    <t>Aksi mencampur headroom dengan saldo kas dalam satu perbandingan</t>
  </si>
  <si>
    <t>Aksi 'Accelerate Customer A collection' menampilkan 'cash buffer: -1002.5 -&gt; +6997.5'. Angka -1.002,5 adalah headroom, sedangkan 6.997,5 adalah saldo kas akhir. Spec-nya sendiri menyebut penagihan minimal IDR 1.100 mn, yang hanya menghasilkan +97,5.</t>
  </si>
  <si>
    <t>Satu satuan untuk satu metrik. Pilih headroom -1.002,5 -&gt; +97,5, atau saldo kas 6.997,5 -&gt; 8.097,5.</t>
  </si>
  <si>
    <t>Teks dampak berupa free text tanpa validasi satuan.</t>
  </si>
  <si>
    <t>d. Prompt dan respons</t>
  </si>
  <si>
    <t>Konten</t>
  </si>
  <si>
    <t>Riwayat percakapan penuh dengan pesan uji coba developer</t>
  </si>
  <si>
    <t>Endpoint conversations mengembalikan sekitar 190 percakapan tersimpan, termasuk 'test', 'asdsad', 'hello world', 'Test test test', 'selamat pagi', 'does all the right tools work?', 'gimme data', dan 'show me the cahrt'.</t>
  </si>
  <si>
    <t>Riwayat yang sudah dikurasi, hanya berisi pertanyaan CFO yang kredibel, atau panel riwayat disembunyikan saat event.</t>
  </si>
  <si>
    <t>Tidak ada pemisahan antara environment development dan environment demo.</t>
  </si>
  <si>
    <t>Pemilik demo</t>
  </si>
  <si>
    <t>Tinggi</t>
  </si>
  <si>
    <t>KPI high-risk dan grafik risk tier tidak sama di layar yang sama</t>
  </si>
  <si>
    <t>KPI 'High-risk exposure' = 2.500 mn dengan label 'provision / high tier'. Grafik 'Risk exposure by tier' menampilkan High = 5.000 mn.</t>
  </si>
  <si>
    <t>Ganti nama KPI menjadi 'High-risk provision', atau tampilkan 5.000 agar sama dengan grafik.</t>
  </si>
  <si>
    <t>KPI membaca field pencadangan, grafik membaca field eksposur. Satu label, dua arti.</t>
  </si>
  <si>
    <t>Definisi</t>
  </si>
  <si>
    <t>Definisi 'Top 5' berbeda tiga kali di dalam satu agent</t>
  </si>
  <si>
    <t>Grafik options 'Top 5 - 46d' memakai baris 1-5 worklist (recovery 21.300 mn). Alert 'DSO gap and overdue concentration' memakai top 5 berdasarkan nilai overdue (27.000 mn, 71,17%). Alert 'Mid-tier accounts' memakai top 5 berdasarkan expected recovery (23.225 mn).</t>
  </si>
  <si>
    <t>Satu definisi saja, dan ditulis di layar.</t>
  </si>
  <si>
    <t>Setiap tampilan menghitung ranking-nya sendiri.</t>
  </si>
  <si>
    <t>Ada dua target margin EBITDA yang dipakai bersamaan</t>
  </si>
  <si>
    <t>KPI tile dan gauge simulator sama-sama menulis 'target 15%'. Alert 'Price recovery opportunity' menyebut margin anggaran 15,7% (EBITDA anggaran 7.200 / pendapatan anggaran 46.000 = 15,65%).</t>
  </si>
  <si>
    <t>Satu target saja. Kalau acuannya anggaran, pakai 15,7% di semua tempat.</t>
  </si>
  <si>
    <t>Target gauge di-hardcode ke angka bulat 15%, sedangkan alert menghitung dari anggaran.</t>
  </si>
  <si>
    <t>Varians harga sekitar sepuluh kali lebih kecil dari penurunan harga yang diklaim</t>
  </si>
  <si>
    <t>Alert menyebut harga blended turun 7,6%, dari IDR 127,7k menjadi IDR 118,0k per unit. Waterfall EBITDA hanya menampilkan langkah harga -390 mn atas pendapatan 46.510 mn. Penurunan harga 7,6% seharusnya berdampak sekitar -3.800 mn.</t>
  </si>
  <si>
    <t>Langkah harga di waterfall dan persentase penurunan di alert harus berasal dari perhitungan yang sama.</t>
  </si>
  <si>
    <t>Langkah waterfall dan narasi alert dihasilkan dari sumber berbeda. Perlu diverifikasi ke model dasarnya.</t>
  </si>
  <si>
    <t>Varians COGS disebut dengan dua angka berbeda</t>
  </si>
  <si>
    <t>Alert dan action memakai COGS overrun IDR 2.930 mn. Waterfall EBITDA menampilkan langkah Cost dan FX sebesar -1.880 mn.</t>
  </si>
  <si>
    <t>Satu angka varians biaya di seluruh waterfall, alert, dan action card.</t>
  </si>
  <si>
    <t>Waterfall mungkin sudah menetkan FX ke dalam biaya, sedangkan alert melaporkan biaya bruto. Keduanya belum direkonsiliasi.</t>
  </si>
  <si>
    <t>Tidak</t>
  </si>
  <si>
    <t>Dua angka yang hampir sama artinya berbeda</t>
  </si>
  <si>
    <t>Langkah Cost dan FX = -1.880 mn. Mix ditambah price = -1.491 + -390 = -1.881 mn, dan sebuah alert melaporkan 'IDR 1.881mn combined profitability loss'.</t>
  </si>
  <si>
    <t>Pisahkan keduanya di layar, atau bulatkan berbeda supaya tidak tertukar saat presentasi.</t>
  </si>
  <si>
    <t>Kebetulan pada data seed, tetapi berpotensi membingungkan di atas panggung.</t>
  </si>
  <si>
    <t>Sedang</t>
  </si>
  <si>
    <t>Batang berlabel 'Current 95%' tidak menunjukkan posisi saat ini</t>
  </si>
  <si>
    <t>Pada grafik 'Recovery scenario' di agent Leakage, batang ketiga berlabel 'Current 95%' bernilai 7.577,5. Batang itu menerapkan 95% ke duplikat dan overbilling sekaligus. Posisi sebenarnya menerapkan 95% ke duplikat dan 90% ke overbilling, hasilnya 7.557,5. Angka itulah yang dipakai KPI 'Total protected' (7.558) dan grafik samping 'Protected vs at risk' (7.557,5). Selisihnya = 400 x 5% = 20 juta. PENTING: selisih ini tidak terlihat mata. KPI dan grafik samping justru sudah cocok satu sama lain, jadi kalau dilihat sekilas memang terasa benar. Yang berbeda hanya grafik recovery, dan 20 dari 7.578 hanya 0,26%. Baru kelihatan lewat tooltip, label angka pada batang, atau kalau ada yang menanyakan angkanya ke agent.</t>
  </si>
  <si>
    <t>Batang 'Current' memakai set asumsi yang sama dengan KPI, sehingga bernilai 7.557,5. Alternatif lain, ganti namanya menjadi '95% untuk semua' supaya tidak lagi mengaku sebagai posisi saat ini.</t>
  </si>
  <si>
    <t>Grafik recovery meng-hardcode satu tarif claw-back untuk semua item yang bisa ditarik. Baseline simulator memakai dua tarif berbeda. Keduanya tidak salah secara terpisah. Yang membuat grafiknya keliru adalah label 'Current'.</t>
  </si>
  <si>
    <t>Severity diturunkan dari Tinggi ke Sedang pada 28 Juli 2026 setelah diperiksa ulang bersama Susan. Alasan: selisihnya tidak terlihat mata dan bukan penghambat demo. Cacatnya tetap nyata dan tetap perlu diperbaiki.</t>
  </si>
  <si>
    <t>Jumlah flag di KPI tidak cocok dengan tabelnya</t>
  </si>
  <si>
    <t>KPI 'Flagged this cycle' menulis '22 flags'. Worklist hanya berisi 10 baris dan vendor radar berjumlah 10 flag pada 8 vendor.</t>
  </si>
  <si>
    <t>Angka pada KPI harus sama dengan jumlah baris yang benar-benar bisa dibuka pengguna.</t>
  </si>
  <si>
    <t>KPI menghitung exception mentah, sedangkan tabel menampilkan top-N tanpa keterangan 'menampilkan 10 dari 22'.</t>
  </si>
  <si>
    <t>Eksposur split invoice muncul di grafik tetapi di luar total</t>
  </si>
  <si>
    <t>At risk = 7.845 = fraud 3.800 + duplikat 3.050 + overbilling 400 + other blocked 500 + lost 95. Alert 'Split invoice threshold evasion' melaporkan IDR 1.950 mn, dan 'Split / threshold' adalah salah satu dari lima kategori grafik, tetapi 1.950 tidak masuk ke 7.845.</t>
  </si>
  <si>
    <t>Pilih: at risk menjadi 9.795, atau split invoice dikeluarkan dari grafik dan dijelaskan.</t>
  </si>
  <si>
    <t>Agregat at-risk dibuat sebelum deteksi split-threshold ditambahkan.</t>
  </si>
  <si>
    <t>Dampak aksi tidak cocok dengan rekomendasinya sendiri</t>
  </si>
  <si>
    <t>Aksi 'Accelerate top overdue collections' menyebut penagihan minimal IDR 20.000 mn. Dampaknya tertulis 'DSO: 57.36 -5.21 -&gt; 52.14'. Angka -5,21 hari setara 10.000 mn (10.000 / 1.917,8). Untuk 20.000 mn seharusnya -10,43 hari.</t>
  </si>
  <si>
    <t>Dampak dihitung ulang dari nilai yang ada di spec.</t>
  </si>
  <si>
    <t>Teks dampak tersalin dari aksi lain.</t>
  </si>
  <si>
    <t>Aksi gabungan hanya menampilkan sebagian dampaknya sendiri</t>
  </si>
  <si>
    <t>Aksi 'Bridge Week 5 funding gap' menyebut percepatan 2.000 mn ditambah penundaan 3.000 mn, total 5.000 mn. Dampaknya tertulis 'headroom: -1002.5 -&gt; +1997.5', hanya bergerak 3.000 mn.</t>
  </si>
  <si>
    <t>-1.002,5 -&gt; +3.997,5.</t>
  </si>
  <si>
    <t>Hanya kaki penundaan yang dihitung.</t>
  </si>
  <si>
    <t>Penamaan</t>
  </si>
  <si>
    <t>Aksi memberi label konsentrasi top-2 sebagai porsi overdue keseluruhan</t>
  </si>
  <si>
    <t>Aksi 'Escalate concentrated exposures' menampilkan 'Overdue share: 43.5% -10% -&gt; 33.5%'. Porsi overdue di dashboard adalah 34,5% (37.935 / 110.000). Angka 43,5% adalah porsi dua pelanggan terbesar terhadap overdue (16.500 / 37.935).</t>
  </si>
  <si>
    <t>Beri label 'Porsi top-2 terhadap overdue'.</t>
  </si>
  <si>
    <t>Nama metrik dipakai ulang untuk penyebut yang berbeda.</t>
  </si>
  <si>
    <t>Aksi credit line berpatokan pada minggu yang salah</t>
  </si>
  <si>
    <t>Aksi 'Pre-arrange contingent credit capacity' memakai baseline 1.012,5, yaitu headroom Minggu 6. Pelanggaran buffer terjadi di Minggu 5 pada -1.002,5. Spec-nya lalu menargetkan buffer di atas 4.000 mn.</t>
  </si>
  <si>
    <t>Baseline -1.002,5 (Minggu 5), hasil +1.997,5 setelah penarikan 3.000 mn.</t>
  </si>
  <si>
    <t>Minggu yang dipilih sebagai baseline salah.</t>
  </si>
  <si>
    <t>c. Tombol / menu / fungsi</t>
  </si>
  <si>
    <t>Integrasi</t>
  </si>
  <si>
    <t>Kunci nama agent tidak konsisten antar endpoint</t>
  </si>
  <si>
    <t>Endpoint agents mengembalikan finance.collection dan finance.treasury. Payload dashboard mengembalikan agent 'collections' dan 'treasury'. Endpoint actions dan alerts memakai 'collection' dan 'cashflow'.</t>
  </si>
  <si>
    <t>Satu kunci kanonik per agent di semua endpoint.</t>
  </si>
  <si>
    <t>Penamaan bergeser antara agent registry, dashboard service, dan alert/action service. Join berdasarkan nama agent akan mengembalikan daftar kosong untuk Treasury.</t>
  </si>
  <si>
    <t>47 action card dengan duplikasi berat</t>
  </si>
  <si>
    <t>Finance memiliki minimal lima aksi hampir identik tentang rebalance mix ke SKU bermargin tinggi. Leakage memiliki tiga aksi hampir identik 'Launch duplicate payment recovery'. Collection memiliki empat aksi pada dua pelanggan yang sama.</t>
  </si>
  <si>
    <t>Rapikan menjadi sekitar tiga sampai lima aksi berbeda per agent untuk demo.</t>
  </si>
  <si>
    <t>Aksi dibuat per alert tanpa tahap clustering, dan alert-nya sendiri sudah duplikatif.</t>
  </si>
  <si>
    <t>Logika</t>
  </si>
  <si>
    <t>Dampak aksi bertumpuk tanpa pengaman double counting</t>
  </si>
  <si>
    <t>Menyetujui seluruh set Finance menambahkan +1.500, +1.000, +390, +300, dan dua pergerakan poin persentase pada basis EBITDA yang sama yaitu 4.300, padahal beberapa di antaranya menyasar driver yang sama.</t>
  </si>
  <si>
    <t>Tampilan portofolio yang menetkan aksi yang tumpang tindih dan menampilkan satu dampak gabungan.</t>
  </si>
  <si>
    <t>Setiap aksi dinilai terpisah terhadap baseline.</t>
  </si>
  <si>
    <t>47 alert yang sebenarnya menceritakan sekitar delapan hal</t>
  </si>
  <si>
    <t>Finance memiliki 12 alert yang pada dasarnya semuanya membahas mix, harga, dan biaya. Cashflow memiliki 12 alert yang mengulang pelanggaran buffer Minggu 5.</t>
  </si>
  <si>
    <t>Kelompokkan menjadi satu alert per isu dasar, dengan peringkat severity.</t>
  </si>
  <si>
    <t>Tidak ada deduplikasi pada generator alert.</t>
  </si>
  <si>
    <t>b. Kesesuaian grafik</t>
  </si>
  <si>
    <t>Grafik</t>
  </si>
  <si>
    <t>Agent Leakage terbuka pada grafik kosong</t>
  </si>
  <si>
    <t>default_view adalah 'categories', yaitu grafik nol semua yang dijelaskan pada temuan pertama.</t>
  </si>
  <si>
    <t>Buka pada tampilan yang berisi data.</t>
  </si>
  <si>
    <t>Akar masalah sama dengan isu amount nol.</t>
  </si>
  <si>
    <t>Aksi FX menyatakan eksposur turun menjadi sebesar nilai hedge</t>
  </si>
  <si>
    <t>Aksi 'Increase near-term FX protection' menampilkan 'FX exposure: 3.3m -1.3m -&gt; 2.0m'. Melindungi sisa 1,3 juta USD seharusnya membuat eksposur tanpa lindung nilai turun dari 1,3 juta menjadi nol, atau coverage naik dari 61% ke 100%. Seperti tertulis, 2,0 juta adalah nilai hedge, bukan sisa eksposur.</t>
  </si>
  <si>
    <t>'Eksposur tanpa lindung nilai: USD 1,3 juta -&gt; USD 0' atau 'Coverage: 61% -&gt; 100%'.</t>
  </si>
  <si>
    <t>Tertukar antara eksposur bruto dan notional yang di-hedge.</t>
  </si>
  <si>
    <t>Tingkat recovery mengabaikan umur piutang</t>
  </si>
  <si>
    <t>Expected recovery hanya ditentukan risk tier: High 40%, Medium 85%, Low 95%. CV Berkah Jaya pada 90+ hari mendapat 40%, sedangkan PT Sumber Makmur pada 61-90 hari mendapat 85%, sama dengan akun 31-60 hari.</t>
  </si>
  <si>
    <t>Tingkat recovery seharusnya merupakan fungsi dari tier DAN bucket umur piutang.</t>
  </si>
  <si>
    <t>Model recovery hanya satu faktor.</t>
  </si>
  <si>
    <t>Satu persentase margin dibulatkan ke bawah, yang lain dibulatkan normal</t>
  </si>
  <si>
    <t>Gross margin Precision tampil 36,2%. Perhitungan 4.930 / 13.600 = 36,25%, seharusnya tampil 36,3%. Industrial 23,81% -&gt; 23,8 dan Standard 16,67% -&gt; 16,7 sudah benar.</t>
  </si>
  <si>
    <t>Pembulatan konsisten, half up.</t>
  </si>
  <si>
    <t>Pemotongan angka (truncation) alih-alih pembulatan pada jalur ini.</t>
  </si>
  <si>
    <t>Gauge DSO menampilkan progres 120% pada metrik yang justru lebih baik bila rendah</t>
  </si>
  <si>
    <t>KPI DSO memiliki progress 1,2 (57 / 47).</t>
  </si>
  <si>
    <t>Balik arah gauge, atau tampilkan selisih hari terhadap target, bukan persentase progres.</t>
  </si>
  <si>
    <t>Perhitungan progres generik diterapkan pada metrik terbalik.</t>
  </si>
  <si>
    <t>Format</t>
  </si>
  <si>
    <t>Format angka tidak konsisten dalam satu baris KPI</t>
  </si>
  <si>
    <t>'Net USD exposure 3.3 M USD' bersebelahan dengan 'Recommended hedge 2,000,000 USD'. Kekurangan kas Minggu 5 muncul sebagai 1.002, 1.002,5, dan 1.003 di tempat berbeda.</t>
  </si>
  <si>
    <t>Satu format per satuan di seluruh aplikasi.</t>
  </si>
  <si>
    <t>Tidak ada helper format bersama.</t>
  </si>
  <si>
    <t>Aksi memberi label saldo dua pelanggan sebagai total piutang overdue</t>
  </si>
  <si>
    <t>Aksi 'Tighten exposure controls' menampilkan 'Overdue AR: 16500 -3000 -&gt; 13500'. Total piutang overdue adalah 37.935. Angka 16.500 adalah dua pelanggan terbesar.</t>
  </si>
  <si>
    <t>'Top-2 overdue: 16.500 -&gt; 13.500'.</t>
  </si>
  <si>
    <t>Nama metrik dipakai ulang.</t>
  </si>
  <si>
    <t>Aksi memakai angka setahun sementara dashboard menampilkan angka per siklus</t>
  </si>
  <si>
    <t>Aksi 'Tighten early-payment discount capture' menampilkan 'Discount leakage: 2470 -50% -&gt; 1235'. Angka 'Lost' di dashboard adalah 95 mn. Alert menjelaskan 95 mn per siklus disetahunkan menjadi 2.470 mn.</t>
  </si>
  <si>
    <t>Cantumkan basisnya di kartu: 'Discount leakage (disetahunkan)'.</t>
  </si>
  <si>
    <t>Tidak ada label periode pada teks dampak.</t>
  </si>
  <si>
    <t>Angka 900 mn yang sama muncul dengan tiga nama berbeda</t>
  </si>
  <si>
    <t>Alert menyebutnya 'IDR 900mn excess vs PO/GRN'. Baseline simulator memecahnya menjadi overbill_amount 400 dan other_blocked 500. Sebuah aksi menyebutnya 'overbilling risk: 900mn'.</t>
  </si>
  <si>
    <t>Satu nama, dengan rincian pemecahannya di bawahnya.</t>
  </si>
  <si>
    <t>Penamaan field bergeser.</t>
  </si>
  <si>
    <t>Dua grafik di layar yang sama mengurutkan pasangan data ke arah berlawanan</t>
  </si>
  <si>
    <t>Grafik utama 'prize' menampilkan Now lalu Target. Grafik samping 'DSO vs target' menampilkan Target lalu Now.</t>
  </si>
  <si>
    <t>Satu urutan saja.</t>
  </si>
  <si>
    <t>Konfigurasi grafik dibuat sendiri-sendiri.</t>
  </si>
  <si>
    <t>Batang bernilai nol di sebelah batang bernilai terbaca seperti gagal render</t>
  </si>
  <si>
    <t>Grafik 'FX impact if we do nothing' menampilkan Base = 0 di sebelah Adverse = 1.777,05.</t>
  </si>
  <si>
    <t>Tampilkan satu nilai dengan garis acuan, atau beri label eksplisit pada batang nol.</t>
  </si>
  <si>
    <t>Pilihan jenis grafik.</t>
  </si>
  <si>
    <t>Tidak ada grafik yang mencantumkan periodenya</t>
  </si>
  <si>
    <t>Tidak satu pun dari empat dashboard menyebutkan apakah angkanya bulanan, year to date, atau setahun penuh.</t>
  </si>
  <si>
    <t>Setiap judul grafik mencantumkan periode, misalnya 'Okt 2025 sampai Sep 2026'.</t>
  </si>
  <si>
    <t>Periode tidak menjadi bagian dari payload.</t>
  </si>
  <si>
    <t>Grafik samping menduplikasi grafik utama persis</t>
  </si>
  <si>
    <t>side.top 'Margin by product' memiliki data identik dengan tampilan 'product'.</t>
  </si>
  <si>
    <t>Gunakan slot samping untuk sesuatu yang tidak ditampilkan tampilan utama.</t>
  </si>
  <si>
    <t>Placeholder layout belum diganti.</t>
  </si>
  <si>
    <t>Grafik kas tidak bisa menjawab mengapa Minggu 5 rendah</t>
  </si>
  <si>
    <t>Tampilan forecast hanya berisi saldo akhir, tanpa rincian arus masuk dan keluar.</t>
  </si>
  <si>
    <t>Tampilkan arus masuk, arus keluar, dan lini terbesar di baliknya per minggu, supaya pertanyaan lanjutan bisa dijawab langsung di layar.</t>
  </si>
  <si>
    <t>Hanya seri saldo yang disimpan.</t>
  </si>
  <si>
    <t>Rendah</t>
  </si>
  <si>
    <t>Kolom bucket pada worklist menempatkan seluruh saldo ke bucket tertua</t>
  </si>
  <si>
    <t>PT Anugerah Prima menampilkan 10.000 pada bucket '31-60 days', sementara grafik aging memecah nilai ke lima bucket.</t>
  </si>
  <si>
    <t>Beri label 'Bucket tertua', atau pecah saldo pelanggan per bucket.</t>
  </si>
  <si>
    <t>Kolom menampilkan umur maksimum, tetapi judulnya tidak menyatakan itu.</t>
  </si>
  <si>
    <t>Kata 'illustrative' terekspos di dalam payload</t>
  </si>
  <si>
    <t>Simulator Finance menyetel illustrative: true, sebuah note berbunyi 'Illustrative breakdown; profit_summary has no opex line columns in this batch', grafik FX berjudul 'FX sensitivity (illustrative)', note vendor score berbunyi 'Score is illustrative (0-100)', dan note tabel hedge menyebut 'an illustrative 170 IDR/USD forward spread'.</t>
  </si>
  <si>
    <t>Hapus catatan developer dari apa pun yang bisa dilihat CFO. Kalau perlu disclosure, cukup satu badge 'demo data' yang rapi.</t>
  </si>
  <si>
    <t>Catatan debug tertinggal di response model.</t>
  </si>
  <si>
    <t>Belum jelas apakah keterlambatan pelanggan sudah masuk ke dalam forecast</t>
  </si>
  <si>
    <t>Sebuah alert menyebut pelanggan menunda IDR 8.000 mn dari Minggu 5 ke Minggu 7. Kalau penundaan itu sudah ada di dalam baseline, Minggu 5 seharusnya 14.997,5 dan tidak ada pelanggaran buffer sama sekali.</t>
  </si>
  <si>
    <t>Nyatakan dengan jelas apakah forecast disajikan sebelum atau sesudah penundaan.</t>
  </si>
  <si>
    <t>Definisi baseline tidak terdokumentasi.</t>
  </si>
  <si>
    <t>Judul alert menyebut Minggu 5 tetapi datanya Minggu 6</t>
  </si>
  <si>
    <t>Alert 'Week 5 cash headroom critically thin' mengutip saldo 9.012,5 dan headroom 1.012,5, yang merupakan nilai Minggu 6.</t>
  </si>
  <si>
    <t>Judul harus cocok dengan minggu yang ada di buktinya.</t>
  </si>
  <si>
    <t>Variabel template tertukar.</t>
  </si>
  <si>
    <t>Starter prompt tidak menampilkan bagian terkuat dari cerita</t>
  </si>
  <si>
    <t>Delapan starter prompt semuanya single-agent. Tidak ada satu pun yang memicu perpindahan dari satu agent ke agent lain, padahal itu pembedanya.</t>
  </si>
  <si>
    <t>Tambahkan prompt seperti 'Agent mana yang harus memperbaiki masalah margin?' dan 'Kalau Collection menarik kas lebih awal, apa dampaknya ke Minggu 5?'</t>
  </si>
  <si>
    <t>Pustaka prompt ditulis per agent secara terpisah.</t>
  </si>
  <si>
    <t>g. Filter</t>
  </si>
  <si>
    <t>Fitur</t>
  </si>
  <si>
    <t>Aplikasi sama sekali tidak punya filter</t>
  </si>
  <si>
    <t>Tidak ada endpoint yang menerima parameter filter. Tidak ada filter legal entity, periode, toko, kategori, pelanggan, vendor, mata uang, maupun skenario.</t>
  </si>
  <si>
    <t>Minimal: legal entity, periode, basis pembanding, toko, kategori, pelanggan, risk tier, bucket umur piutang, vendor, jenis kebocoran, minggu, dan jenis komitmen.</t>
  </si>
  <si>
    <t>Filtering memang tidak masuk lingkup mockup.</t>
  </si>
  <si>
    <t>Volume data jauh di bawah permintaan klien</t>
  </si>
  <si>
    <t>Collection menampilkan 8 pelanggan, Leakage menampilkan 8 vendor dan 10 transaksi, Finance menampilkan 3 lini produk. Tidak ada dimensi toko, item, kategori, maupun legal entity di mana pun dalam payload.</t>
  </si>
  <si>
    <t>Minimal 3 legal entity, 20 toko, 100 item, kategori yang lengkap, dan data bulanan sampai Sep 2026.</t>
  </si>
  <si>
    <t>Mockup di-seed dengan baris ilustratif yang ditulis manual.</t>
  </si>
  <si>
    <t>Belum diuji</t>
  </si>
  <si>
    <t>Perilaku interaktif tidak bisa diverifikasi dari luar</t>
  </si>
  <si>
    <t>Tombol, menu, perpindahan tab, slider simulator, approve dan simulate pada aksi, kirim chat, dan export semuanya berupa POST atau berjalan di sisi klien. Semua itu tidak bisa diuji lewat API read-only yang tersedia dari luar.</t>
  </si>
  <si>
    <t>Jalankan sheet 02 secara manual pada aplikasi live dan catat hasilnya.</t>
  </si>
  <si>
    <t>Bukan cacat aplikasi. Ini batas lingkup review.</t>
  </si>
  <si>
    <t>Skor risiko vendor mengabaikan nilai dan tingkat keparahan</t>
  </si>
  <si>
    <t>Setiap vendor mendapat skor tepat jumlah flag dikali 20. Osaka Precision KK dengan 2 flag mendapat 40. Vendor dengan satu flag lost discount beberapa juta mendapat 20, sama dengan vendor dengan satu flag dugaan fraud senilai 3.800 mn.</t>
  </si>
  <si>
    <t>Skor ditimbang berdasarkan eksposur dan severity, sehingga kasus fraud berada di peringkat pertama.</t>
  </si>
  <si>
    <t>Formula skor masih placeholder, dan memang ditandai 'illustrative' di payload.</t>
  </si>
  <si>
    <t>Tuas penagihan Treasury tidak terhubung ke buku Collection</t>
  </si>
  <si>
    <t>Simulator Treasury membatasi 'Accelerate collection' pada IDR 8.000 mn. Agent Collection menyatakan satu pelanggan terbesar saja membebaskan 8.500 mn dan seluruh overdue membebaskan 32.163 mn.</t>
  </si>
  <si>
    <t>Batas maksimum tuas Treasury seharusnya diturunkan dari worklist Collection, dan menarik kas di Treasury seharusnya mengurangi piutang di Collection.</t>
  </si>
  <si>
    <t>Kedua simulator berdiri sendiri, sehingga perpindahan antar agent baru bersifat narasi, belum terhitung.</t>
  </si>
  <si>
    <t>Mockup dan aplikasi yang di-deploy menyebut angka berbeda</t>
  </si>
  <si>
    <t>File mandiri 03_CFO_FinanceAI_Suite_Mockup_v9.4 dan aplikasi Azure membawa angka berbeda. Kas Minggu 5: 6.698 versus 6.997,5. Panjang proyeksi: 14 minggu versus 13. Kekurangan Minggu 5: -1.302 versus -1.002,5. Grafik kategori Leakage: terisi versus nol semua. Batang ketiga grafik recovery: hidup berlabel 'Now' versus mati berlabel 'Current 95%'. DIPERJELAS 28 Juli: link Azure adalah build yang diuji, file HTML adalah acuan desain yang cukup disegarkan datasetnya. Jadi ini bukan dua produk yang bersaing, melainkan acuan yang mulai ditinggalkan oleh aplikasinya.</t>
  </si>
  <si>
    <t>Setelah keduanya memakai dataset pengganti, angka di aplikasi harus sama dengan mockup acuan. Sisa perbedaan apa pun harus merupakan pilihan yang disengaja dan didokumentasikan.</t>
  </si>
  <si>
    <t>Kedua jalur diperbarui pada waktu berbeda. Mockup HTML lebih maju dari aplikasi Azure dalam dua perbaikan: kategori Leakage dan batang recovery.</t>
  </si>
  <si>
    <t>Pemilik demo + Backend</t>
  </si>
  <si>
    <t>Diturunkan dari Kritis ke Sedang pada 28 Juli 2026 setelah Susan menjelaskan perannya: link Azure yang diuji, mockup cukup disegarkan datasetnya. Bukan penghambat demo karena file HTML tidak ditampilkan ke audiens. Tetap dilacak supaya aplikasinya tidak makin jauh dari acuannya sendiri. Mockup versi baru dengan dataset pengganti sudah dikirim sebagai v10.0.</t>
  </si>
  <si>
    <t>Fitur hilang</t>
  </si>
  <si>
    <t>Mockup membawa registry penjelasan berisi sekitar 40 entri. Setiap KPI, grafik, baris tabel, dan angka simulator punya ikon (i) yang membuka arti dalam bahasa sederhana beserta rumus persisnya, misalnya 'Closing = Opening + Net cash flow; W5 = 5.789 versus buffer 8.000'. Payload dashboard Azure tidak punya field sepadan, dan openapi.json tidak memuat endpoint untuk itu.</t>
  </si>
  <si>
    <t>Setiap elemen di layar bisa menjelaskan angkanya sendiri saat diminta, lengkap dengan rumusnya.</t>
  </si>
  <si>
    <t>Aplikasi yang di-deploy dibangun dengan lingkup lebih sempit daripada mockup acuan.</t>
  </si>
  <si>
    <t>Ditambahkan 28 Juli 2026 dari perbandingan fitur mockup v10.0 terhadap daftar endpoint openapi.json Azure.</t>
  </si>
  <si>
    <t>Tidak ada mode cerita terpandu</t>
  </si>
  <si>
    <t>Mockup punya tombol 'Play the CFO story' yang menjalankan seluruh narasi secara otomatis. Aplikasi Azure tidak punya padanannya. openapi.json hanya memuat chat, dashboard, simulator, alert, dan action.</t>
  </si>
  <si>
    <t>Ada alur terpandu yang sudah diskenariokan, supaya demo tidak bergantung pada pengetikan langsung dan bisa diulang persis sama.</t>
  </si>
  <si>
    <t>Simulator tidak bisa menyimpan, memuat, atau membandingkan skenario</t>
  </si>
  <si>
    <t>Mockup punya Save scenario, dropdown Load scenario, dan Compare (n). Aplikasi Azure hanya memiliki empat endpoint recalculate, tanpa penyimpanan dan tanpa pembanding.</t>
  </si>
  <si>
    <t>Minimal bisa menyimpan satu skenario dan membandingkannya berdampingan dengan baseline.</t>
  </si>
  <si>
    <t>Simulator tidak punya preset</t>
  </si>
  <si>
    <t>Mockup menyediakan empat preset bernama per agent, misalnya 'Recommended: cover 1.8M @ +3%' dan 'Base (95% dup / 90% overbill)'. Payload simulator Azure hanya memuat inputs dan baseline.</t>
  </si>
  <si>
    <t>Tiga sampai empat preset bernama per agent, supaya presenter tidak perlu menggeser slider dengan presisi di depan kamera.</t>
  </si>
  <si>
    <t>Simulator tidak punya pemilih cakupan</t>
  </si>
  <si>
    <t>Mockup memungkinkan pengguna berganti antara All lines dan FX lines, sehingga satu tuas bisa diterapkan hanya ke sebagian portofolio. Simulator Azure menerapkan setiap tuas ke semuanya.</t>
  </si>
  <si>
    <t>Ada kontrol cakupan, atau pernyataan jelas di layar bahwa tuas berlaku untuk seluruh buku.</t>
  </si>
  <si>
    <t>KPI tile tidak punya sparkline tren</t>
  </si>
  <si>
    <t>Setiap KPI di mockup membawa sparkline lima titik. Objek KPI Azure berisi id, view, label, value, unit, delta, alert, value_num, target_num, progress, dan status, tanpa deret tren.</t>
  </si>
  <si>
    <t>Ada deret tren pendek di setiap KPI, supaya CFO melihat arahnya tanpa membuka grafik.</t>
  </si>
  <si>
    <t>Mockup memberi label pada setiap rekomendasi, misalnya 'High confidence' atau 'Medium, customer must agree'. Objek action Azure berisi id, action, agent, routes, alert_id, status, spec, impact, simulation_summary, dan created_at, tanpa field keyakinan.</t>
  </si>
  <si>
    <t>Ada tingkat keyakinan beserta dasarnya di setiap aksi. CFO tidak akan menyetujui rekomendasi yang tidak mau menyebut seberapa yakin dirinya.</t>
  </si>
  <si>
    <t>Tidak ada tampilan rantai saat aksi dieksekusi</t>
  </si>
  <si>
    <t>Mockup menganimasikan rutenya, memperlihatkan setiap penerima mengambil tugasnya bergantian. Aplikasi Azure hanya punya endpoint approve yang mengembalikan status, tanpa apa pun untuk dilihat.</t>
  </si>
  <si>
    <t>Ada jejak eksekusi yang terlihat melintasi para penerima. Ini momen agentic terkuat dalam demo, dan saat ini tidak punya visual sama sekali.</t>
  </si>
  <si>
    <t>Tidak ada umpan notifikasi status</t>
  </si>
  <si>
    <t>Mockup punya lonceng berisi umpan langsung tentang apa yang dikerjakan agent dan apa yang menunggu persetujuan, ditambah pop-up toast. Azure punya alerts, yang isinya temuan, bukan aktivitas. Tidak ada endpoint untuk aktivitas agent.</t>
  </si>
  <si>
    <t>Ada umpan aktivitas terpisah dari alert, menampilkan apa yang sudah dieksekusi agent dan kapan.</t>
  </si>
  <si>
    <t>Tidak ada pengalih Bahasa Indonesia</t>
  </si>
  <si>
    <t>Mockup punya sakelar Bahasa ON. Aplikasi Azure tidak punya parameter bahasa pada endpoint mana pun.</t>
  </si>
  <si>
    <t>Ada pengalih bahasa. Audiensnya orang Indonesia, dan kemampuan berpindah ke Bahasa di tengah demo adalah pembeda yang tidak akan ditunjukkan kompetitor.</t>
  </si>
  <si>
    <t>Tidak ada tombol kembali ke kondisi awal</t>
  </si>
  <si>
    <t>Mockup punya tombol Reset yang mengembalikan setiap tuas dan tampilan ke kondisi pembuka. Azure punya DELETE /api/alerts dan POST /api/alerts/populate yang menghapus dan mengisi ulang alert, tetapi tidak ada yang mengembalikan simulator.</t>
  </si>
  <si>
    <t>Satu tombol yang mengembalikan seluruh aplikasi ke kondisi pembuka. Tanpa itu Anda tidak bisa merekam beberapa take yang bersih.</t>
  </si>
  <si>
    <t>Tidak ada alur hitung dengan parameter sendiri</t>
  </si>
  <si>
    <t>Mockup punya 'Calculate exactly with my parameters', tempat CFO memasukkan asumsinya sendiri lalu agent menghitung ulang dan menunjukkan langkahnya. Azure punya chat dan endpoint recalculate, tetapi tidak ada alur yang menyatukan keduanya.</t>
  </si>
  <si>
    <t>Ada jalur dari asumsi yang diberikan CFO langsung menuju jawaban yang dihitung ulang dan diperlihatkan langkahnya.</t>
  </si>
  <si>
    <t>Kartu next best action tidak ada di dashboard</t>
  </si>
  <si>
    <t>Mockup menaruh dua kartu next best action di bagian bawah setiap tampilan agent, masing-masing bisa dieksekusi dengan satu klik. Di Azure, aksi berada di daftar terpisah dan tidak dimunculkan di sebelah grafik yang memicunya.</t>
  </si>
  <si>
    <t>Ada satu atau dua next best action di dashboard itu sendiri, bersebelahan dengan buktinya.</t>
  </si>
  <si>
    <t>Belum bisa dipastikan apakah chat bisa menampilkan grafik dan tabel</t>
  </si>
  <si>
    <t>Mockup menjawab CFO challenge dengan grafik yang dirender ditambah tabel dan lencana keyakinan. Endpoint chat Azure hanya POST dan tidak bisa diuji dari review read-only, jadi status ini belum diketahui, bukan dipastikan hilang.</t>
  </si>
  <si>
    <t>Konfirmasi lewat uji manual MT-019. Kalau chat hanya mengembalikan teks, ini menjadi kesenjangan nyata.</t>
  </si>
  <si>
    <t>Manual test checklist - things that cannot be tested from outside the app</t>
  </si>
  <si>
    <t>Run these against the live app and fill the yellow columns. Anything that fails becomes a new row in 01_Findings.</t>
  </si>
  <si>
    <t>Area</t>
  </si>
  <si>
    <t>Test</t>
  </si>
  <si>
    <t>Steps</t>
  </si>
  <si>
    <t>Expected result</t>
  </si>
  <si>
    <t>Priority</t>
  </si>
  <si>
    <t>Tester</t>
  </si>
  <si>
    <t>Test date</t>
  </si>
  <si>
    <t>Result</t>
  </si>
  <si>
    <t>Defect ID</t>
  </si>
  <si>
    <t>MT-001</t>
  </si>
  <si>
    <t>Navigation</t>
  </si>
  <si>
    <t>Agent switcher</t>
  </si>
  <si>
    <t>Click each of the four agents in turn: Finance, Leakage, Collection, Treasury.</t>
  </si>
  <si>
    <t>Each loads within 3 seconds, the KPI row changes, and no chart is blank.</t>
  </si>
  <si>
    <t>Not run</t>
  </si>
  <si>
    <t>MT-002</t>
  </si>
  <si>
    <t>View tabs</t>
  </si>
  <si>
    <t>Click every view tab inside each agent (Finance: drivers, revenue, product, fx, opex. Collection: aging, worklist, prize, tiers, options. Leakage: categories, blockvs, recovery, worklist, vendors. Treasury: forecast, exposure, fx, options).</t>
  </si>
  <si>
    <t>All 19 views render with data. Note any that are empty or throw.</t>
  </si>
  <si>
    <t>MT-003</t>
  </si>
  <si>
    <t>Deep link and refresh</t>
  </si>
  <si>
    <t>Refresh the browser on a non-default view.</t>
  </si>
  <si>
    <t>The app returns to a working state rather than an error.</t>
  </si>
  <si>
    <t>MT-004</t>
  </si>
  <si>
    <t>Buttons</t>
  </si>
  <si>
    <t>KPI tile click</t>
  </si>
  <si>
    <t>Click each KPI tile.</t>
  </si>
  <si>
    <t>The matching view opens. KPI 'view' field suggests this is intended: margin and ebitda open drivers, revenue opens revenue, gm opens product, opex opens opex.</t>
  </si>
  <si>
    <t>MT-005</t>
  </si>
  <si>
    <t>Explain this KPI</t>
  </si>
  <si>
    <t>Use the KPI explain action.</t>
  </si>
  <si>
    <t>A response referencing the correct KPI name and current value. Conversation titles show this feature exists.</t>
  </si>
  <si>
    <t>MT-006</t>
  </si>
  <si>
    <t>Simulator</t>
  </si>
  <si>
    <t>Five sliders</t>
  </si>
  <si>
    <t>Move Price, Cost, Volume, FX and Opex one at a time from the default of 0.</t>
  </si>
  <si>
    <t>Gauge and scenario figures update on every move. Record the margin at price +5% and confirm it is arithmetically sensible against baseline revenue 46,510 and GM 11,780.</t>
  </si>
  <si>
    <t>MT-007</t>
  </si>
  <si>
    <t>Scope selector</t>
  </si>
  <si>
    <t>Switch scope between 'all' and 'fx'.</t>
  </si>
  <si>
    <t>The scope actually changes which levers apply. Confirm it is not cosmetic.</t>
  </si>
  <si>
    <t>MT-008</t>
  </si>
  <si>
    <t>Reset</t>
  </si>
  <si>
    <t>Return all sliders to 0.</t>
  </si>
  <si>
    <t>Every figure returns exactly to the baseline: EBITDA 4,300, margin 9.2%.</t>
  </si>
  <si>
    <t>MT-009</t>
  </si>
  <si>
    <t>Pull and discount</t>
  </si>
  <si>
    <t>Set Pull from customer to 10,000 and Discount to 1%.</t>
  </si>
  <si>
    <t>DSO should fall from 57.36 to about 52.14 (10,000 / 1,917.8 = 5.21 days). Confirm the discount cost is deducted somewhere.</t>
  </si>
  <si>
    <t>MT-010</t>
  </si>
  <si>
    <t>Maximum boundary</t>
  </si>
  <si>
    <t>Set Pull to the maximum of 10,000 and back to 0.</t>
  </si>
  <si>
    <t>No negative DSO, no error, clean return to 57.36.</t>
  </si>
  <si>
    <t>MT-011</t>
  </si>
  <si>
    <t>Four levers</t>
  </si>
  <si>
    <t>Move accelerate collection, defer payment, credit line draw and hedge.</t>
  </si>
  <si>
    <t>Week 5 closing cash and the coverage gauge both respond. Deferring a payment should show where the money moves to, not only that Week 5 improves.</t>
  </si>
  <si>
    <t>MT-012</t>
  </si>
  <si>
    <t>Defer beyond the trough</t>
  </si>
  <si>
    <t>Defer 3,000 from Week 5.</t>
  </si>
  <si>
    <t>Check whether Week 6 or Week 7 gets worse. If nothing else changes, the model is only moving one number.</t>
  </si>
  <si>
    <t>MT-013</t>
  </si>
  <si>
    <t>Three levers</t>
  </si>
  <si>
    <t>Move Hold amount, Dup recovery % and Overbill rec %.</t>
  </si>
  <si>
    <t>Total protected updates. At the defaults it must read 7,557.5, not 7,577.5. Then open the 'Recovery scenario' chart and hover the 'Current 95%' bar: if its tooltip says 7,577.5 while the KPI says 7,558, QC-013 is confirmed.</t>
  </si>
  <si>
    <t>MT-014</t>
  </si>
  <si>
    <t>Actions</t>
  </si>
  <si>
    <t>Approve</t>
  </si>
  <si>
    <t>Approve one action.</t>
  </si>
  <si>
    <t>Status moves from planned. Confirm what actually changes and whether it can be undone.</t>
  </si>
  <si>
    <t>MT-015</t>
  </si>
  <si>
    <t>Simulate</t>
  </si>
  <si>
    <t>Run simulate on one action.</t>
  </si>
  <si>
    <t>simulation_summary is currently null on all 47 actions. Confirm whether this endpoint produces anything.</t>
  </si>
  <si>
    <t>MT-016</t>
  </si>
  <si>
    <t>Routing</t>
  </si>
  <si>
    <t>Open an action with multiple routes, for example Treasury Manager, Procurement, A/P.</t>
  </si>
  <si>
    <t>Routing is visible and explainable on screen. This is the agentic story for the CFO audience.</t>
  </si>
  <si>
    <t>MT-017</t>
  </si>
  <si>
    <t>Chat</t>
  </si>
  <si>
    <t>Starter prompts</t>
  </si>
  <si>
    <t>Run all eight starter prompts.</t>
  </si>
  <si>
    <t>Answers cite figures that match the dashboard exactly. Log any figure that differs.</t>
  </si>
  <si>
    <t>MT-018</t>
  </si>
  <si>
    <t>Cross-agent routing</t>
  </si>
  <si>
    <t>Ask 'who should I consult to fix margins' and 'if Collection pulls cash forward, what happens to Week 5'.</t>
  </si>
  <si>
    <t>The agent names another agent and hands over. This is the money shot of the demo.</t>
  </si>
  <si>
    <t>MT-019</t>
  </si>
  <si>
    <t>Chart on request</t>
  </si>
  <si>
    <t>Ask 'show me the EBITDA bridge' and 'show credit ageing as a pie chart'.</t>
  </si>
  <si>
    <t>A chart renders inline with the same numbers as the dashboard.</t>
  </si>
  <si>
    <t>MT-020</t>
  </si>
  <si>
    <t>Challenge question</t>
  </si>
  <si>
    <t>Ask 'you want me to chase my biggest customer for 10,000 mn, what does that do to the relationship'.</t>
  </si>
  <si>
    <t>A considered answer, not a repeat of the worklist. This question is already in the saved history.</t>
  </si>
  <si>
    <t>MT-021</t>
  </si>
  <si>
    <t>Hallucination probe</t>
  </si>
  <si>
    <t>Ask about a figure that does not exist, for example 'what was our Q1 2024 EBITDA'.</t>
  </si>
  <si>
    <t>The agent says it does not have the data rather than inventing a number.</t>
  </si>
  <si>
    <t>MT-022</t>
  </si>
  <si>
    <t>Language</t>
  </si>
  <si>
    <t>Ask one question in Bahasa Indonesia.</t>
  </si>
  <si>
    <t>Confirm the behaviour before the event so there is no surprise if an attendee tries it.</t>
  </si>
  <si>
    <t>MT-023</t>
  </si>
  <si>
    <t>Latency</t>
  </si>
  <si>
    <t>Time five responses.</t>
  </si>
  <si>
    <t>Under about 8 seconds. Anything slower needs a filler line in the voice over.</t>
  </si>
  <si>
    <t>MT-024</t>
  </si>
  <si>
    <t>History panel</t>
  </si>
  <si>
    <t>Open the conversation history.</t>
  </si>
  <si>
    <t>Confirm whether the roughly 190 test conversations are visible to the audience. See QC-006.</t>
  </si>
  <si>
    <t>MT-025</t>
  </si>
  <si>
    <t>Export</t>
  </si>
  <si>
    <t>Try any export or download control.</t>
  </si>
  <si>
    <t>File opens and matches what is on screen.</t>
  </si>
  <si>
    <t>MT-026</t>
  </si>
  <si>
    <t>Display</t>
  </si>
  <si>
    <t>Projector check</t>
  </si>
  <si>
    <t>Open the app at 1920x1080 and at the actual event resolution.</t>
  </si>
  <si>
    <t>No truncated labels, no overlapping legends, readable from the back of the room.</t>
  </si>
  <si>
    <t>MT-027</t>
  </si>
  <si>
    <t>Dark or bright room</t>
  </si>
  <si>
    <t>View on the event screen with room lighting.</t>
  </si>
  <si>
    <t>Chart colours remain distinguishable.</t>
  </si>
  <si>
    <t>MT-028</t>
  </si>
  <si>
    <t>Browser zoom</t>
  </si>
  <si>
    <t>Test at 80%, 100% and 125%.</t>
  </si>
  <si>
    <t>Layout holds.</t>
  </si>
  <si>
    <t>MT-029</t>
  </si>
  <si>
    <t>Stability</t>
  </si>
  <si>
    <t>Cold start</t>
  </si>
  <si>
    <t>Leave the app idle for 30 minutes, then load it.</t>
  </si>
  <si>
    <t>No container cold-start delay in front of the audience. Azure Container Apps can scale to zero.</t>
  </si>
  <si>
    <t>MT-030</t>
  </si>
  <si>
    <t>Rapid clicking</t>
  </si>
  <si>
    <t>Click through all views quickly twice.</t>
  </si>
  <si>
    <t>No stuck spinner, no duplicated request errors.</t>
  </si>
  <si>
    <t>MT-031</t>
  </si>
  <si>
    <t>Full dry run</t>
  </si>
  <si>
    <t>Run the entire 4-minute demo end to end, twice.</t>
  </si>
  <si>
    <t>Same result both times, within the time budget.</t>
  </si>
  <si>
    <t>Daftar uji manual - hal yang tidak bisa diuji dari luar aplikasi</t>
  </si>
  <si>
    <t>Jalankan pada aplikasi live lalu isi kolom kuning. Setiap kegagalan menjadi baris baru di sheet 01B_Temuan_Bahasa.</t>
  </si>
  <si>
    <t>Pengujian</t>
  </si>
  <si>
    <t>Prioritas</t>
  </si>
  <si>
    <t>Penguji</t>
  </si>
  <si>
    <t>Tanggal uji</t>
  </si>
  <si>
    <t>Hasil</t>
  </si>
  <si>
    <t>No temuan</t>
  </si>
  <si>
    <t>Navigasi</t>
  </si>
  <si>
    <t>Semua</t>
  </si>
  <si>
    <t>Pemilih agent</t>
  </si>
  <si>
    <t>Klik keempat agent bergantian: Finance, Leakage, Collection, Treasury.</t>
  </si>
  <si>
    <t>Setiap agent termuat dalam 3 detik, baris KPI berubah, dan tidak ada grafik yang kosong.</t>
  </si>
  <si>
    <t>Tab tampilan</t>
  </si>
  <si>
    <t>Klik semua tab tampilan di setiap agent (Finance: drivers, revenue, product, fx, opex. Collection: aging, worklist, prize, tiers, options. Leakage: categories, blockvs, recovery, worklist, vendors. Treasury: forecast, exposure, fx, options).</t>
  </si>
  <si>
    <t>Ke-19 tampilan tampil berisi data. Catat mana yang kosong atau error.</t>
  </si>
  <si>
    <t>Deep link dan refresh</t>
  </si>
  <si>
    <t>Refresh browser saat berada di tampilan selain default.</t>
  </si>
  <si>
    <t>Aplikasi kembali ke kondisi normal, bukan error.</t>
  </si>
  <si>
    <t>Tombol</t>
  </si>
  <si>
    <t>Klik KPI tile</t>
  </si>
  <si>
    <t>Klik setiap KPI tile.</t>
  </si>
  <si>
    <t>Tampilan yang sesuai terbuka. Field 'view' pada KPI menunjukkan ini memang dirancang begitu: margin dan ebitda membuka drivers, revenue membuka revenue, gm membuka product, opex membuka opex.</t>
  </si>
  <si>
    <t>Jelaskan KPI ini</t>
  </si>
  <si>
    <t>Gunakan fitur explain pada KPI.</t>
  </si>
  <si>
    <t>Jawaban menyebut nama KPI dan nilainya dengan benar. Judul percakapan tersimpan menunjukkan fitur ini ada.</t>
  </si>
  <si>
    <t>Lima slider</t>
  </si>
  <si>
    <t>Geser Price, Cost, Volume, FX, dan Opex satu per satu dari posisi awal 0.</t>
  </si>
  <si>
    <t>Gauge dan angka skenario berubah pada setiap pergeseran. Catat margin saat price +5% dan pastikan masuk akal terhadap baseline pendapatan 46.510 dan GM 11.780.</t>
  </si>
  <si>
    <t>Pemilih scope</t>
  </si>
  <si>
    <t>Ganti scope antara 'all' dan 'fx'.</t>
  </si>
  <si>
    <t>Scope benar-benar mengubah tuas mana yang berlaku. Pastikan bukan sekadar kosmetik.</t>
  </si>
  <si>
    <t>Kembalikan semua slider ke 0.</t>
  </si>
  <si>
    <t>Semua angka kembali persis ke baseline: EBITDA 4.300, margin 9,2%.</t>
  </si>
  <si>
    <t>Tarik dan diskon</t>
  </si>
  <si>
    <t>Set 'Pull from customer' ke 10.000 dan Discount ke 1%.</t>
  </si>
  <si>
    <t>DSO turun dari 57,36 ke sekitar 52,14 (10.000 / 1.917,8 = 5,21 hari). Pastikan biaya diskon dikurangkan di suatu tempat.</t>
  </si>
  <si>
    <t>Batas maksimum</t>
  </si>
  <si>
    <t>Set Pull ke maksimum 10.000 lalu kembali ke 0.</t>
  </si>
  <si>
    <t>Tidak ada DSO negatif, tidak ada error, dan kembali bersih ke 57,36.</t>
  </si>
  <si>
    <t>Empat tuas</t>
  </si>
  <si>
    <t>Geser accelerate collection, defer payment, credit line draw, dan hedge.</t>
  </si>
  <si>
    <t>Saldo kas Minggu 5 dan gauge coverage sama-sama merespons. Menunda pembayaran harus menunjukkan uangnya pindah ke mana, bukan hanya bahwa Minggu 5 membaik.</t>
  </si>
  <si>
    <t>Tunda melewati titik terendah</t>
  </si>
  <si>
    <t>Tunda 3.000 dari Minggu 5.</t>
  </si>
  <si>
    <t>Periksa apakah Minggu 6 atau Minggu 7 menjadi lebih buruk. Kalau tidak ada yang berubah, modelnya hanya memindahkan satu angka.</t>
  </si>
  <si>
    <t>Tiga tuas</t>
  </si>
  <si>
    <t>Geser Hold amount, Dup recovery %, dan Overbill rec %.</t>
  </si>
  <si>
    <t>Aksi</t>
  </si>
  <si>
    <t>Setujui satu aksi.</t>
  </si>
  <si>
    <t>Status berubah dari planned. Pastikan apa yang benar-benar berubah dan apakah bisa dibatalkan.</t>
  </si>
  <si>
    <t>Jalankan simulate pada satu aksi.</t>
  </si>
  <si>
    <t>Saat ini simulation_summary bernilai null pada seluruh 47 aksi. Pastikan endpoint ini menghasilkan sesuatu atau tidak.</t>
  </si>
  <si>
    <t>Buka aksi dengan beberapa rute, misalnya Treasury Manager, Procurement, A/P.</t>
  </si>
  <si>
    <t>Rute terlihat dan bisa dijelaskan di layar. Inilah inti cerita agentic untuk audiens CFO.</t>
  </si>
  <si>
    <t>Starter prompt</t>
  </si>
  <si>
    <t>Jalankan kedelapan starter prompt.</t>
  </si>
  <si>
    <t>Jawaban mengutip angka yang persis sama dengan dashboard. Catat setiap angka yang berbeda.</t>
  </si>
  <si>
    <t>Perpindahan antar agent</t>
  </si>
  <si>
    <t>Tanyakan 'siapa yang harus saya libatkan untuk memperbaiki margin' dan 'kalau Collection menarik kas lebih awal, apa dampaknya ke Minggu 5'.</t>
  </si>
  <si>
    <t>Agent menyebut agent lain lalu menyerahkan tugasnya. Inilah bagian paling penting dari demo.</t>
  </si>
  <si>
    <t>Minta grafik</t>
  </si>
  <si>
    <t>Tanyakan 'tampilkan EBITDA bridge' dan 'tampilkan umur piutang dalam pie chart'.</t>
  </si>
  <si>
    <t>Grafik muncul di dalam chat dengan angka yang sama dengan dashboard.</t>
  </si>
  <si>
    <t>Pertanyaan menantang</t>
  </si>
  <si>
    <t>Tanyakan 'Anda menyuruh saya menagih pelanggan terbesar saya 10.000 mn, apa dampaknya ke hubungan bisnis'.</t>
  </si>
  <si>
    <t>Jawaban yang matang, bukan pengulangan worklist. Pertanyaan ini sudah ada di riwayat tersimpan.</t>
  </si>
  <si>
    <t>Uji halusinasi</t>
  </si>
  <si>
    <t>Tanyakan angka yang tidak ada, misalnya 'berapa EBITDA kita di Q1 2024'.</t>
  </si>
  <si>
    <t>Agent menyatakan tidak memiliki datanya, bukan mengarang angka.</t>
  </si>
  <si>
    <t>Bahasa</t>
  </si>
  <si>
    <t>Ajukan satu pertanyaan dalam Bahasa Indonesia.</t>
  </si>
  <si>
    <t>Pastikan perilakunya sebelum event supaya tidak ada kejutan bila peserta mencoba.</t>
  </si>
  <si>
    <t>Kecepatan respons</t>
  </si>
  <si>
    <t>Ukur waktu lima jawaban.</t>
  </si>
  <si>
    <t>Di bawah sekitar 8 detik. Kalau lebih lambat, siapkan kalimat pengisi di voice over.</t>
  </si>
  <si>
    <t>Panel riwayat</t>
  </si>
  <si>
    <t>Buka riwayat percakapan.</t>
  </si>
  <si>
    <t>Pastikan apakah sekitar 190 percakapan uji coba terlihat oleh audiens. Lihat QC-006.</t>
  </si>
  <si>
    <t>Coba tombol export atau download apa pun.</t>
  </si>
  <si>
    <t>File terbuka dan isinya sama dengan yang di layar.</t>
  </si>
  <si>
    <t>Tampilan</t>
  </si>
  <si>
    <t>Uji proyektor</t>
  </si>
  <si>
    <t>Buka aplikasi pada 1920x1080 dan pada resolusi asli event.</t>
  </si>
  <si>
    <t>Tidak ada label terpotong, tidak ada legenda bertumpuk, dan terbaca dari belakang ruangan.</t>
  </si>
  <si>
    <t>Ruangan terang atau gelap</t>
  </si>
  <si>
    <t>Lihat pada layar event dengan pencahayaan ruangan sesungguhnya.</t>
  </si>
  <si>
    <t>Warna grafik tetap bisa dibedakan.</t>
  </si>
  <si>
    <t>Zoom browser</t>
  </si>
  <si>
    <t>Uji pada 80%, 100%, dan 125%.</t>
  </si>
  <si>
    <t>Tata letak tetap rapi.</t>
  </si>
  <si>
    <t>Stabilitas</t>
  </si>
  <si>
    <t>Diamkan aplikasi 30 menit, lalu buka kembali.</t>
  </si>
  <si>
    <t>Tidak ada jeda cold start di depan audiens. Azure Container Apps bisa turun ke nol instance.</t>
  </si>
  <si>
    <t>Klik cepat</t>
  </si>
  <si>
    <t>Klik seluruh tampilan dengan cepat sebanyak dua putaran.</t>
  </si>
  <si>
    <t>Tidak ada spinner macet dan tidak ada error permintaan ganda.</t>
  </si>
  <si>
    <t>Gladi bersih penuh</t>
  </si>
  <si>
    <t>Jalankan seluruh demo 4 menit dari awal sampai akhir, dua kali.</t>
  </si>
  <si>
    <t>Hasil sama pada kedua percobaan, dan masuk dalam batas waktu.</t>
  </si>
  <si>
    <t>PASS means the arithmetic on the live app is correct and you can defend it on stage. FAIL means it is wrong and has a QC ID.</t>
  </si>
  <si>
    <t>#</t>
  </si>
  <si>
    <t>What was checked</t>
  </si>
  <si>
    <t>Calculation performed</t>
  </si>
  <si>
    <t>Result on the app</t>
  </si>
  <si>
    <t>QC ID</t>
  </si>
  <si>
    <t>Revenue equals the sum of the three product lines</t>
  </si>
  <si>
    <t>19,110 + 13,600 + 13,800 = 46,510</t>
  </si>
  <si>
    <t>46,510</t>
  </si>
  <si>
    <t>PASS</t>
  </si>
  <si>
    <t>Gross margin equals the sum of the product line margins</t>
  </si>
  <si>
    <t>4,550 + 4,930 + 2,300 = 11,780</t>
  </si>
  <si>
    <t>11,780</t>
  </si>
  <si>
    <t>Gross margin percentage</t>
  </si>
  <si>
    <t>11,780 / 46,510 = 25.33%</t>
  </si>
  <si>
    <t>25.3%</t>
  </si>
  <si>
    <t>EBITDA equals gross margin less opex</t>
  </si>
  <si>
    <t>11,780 - 7,480 = 4,300</t>
  </si>
  <si>
    <t>4,300</t>
  </si>
  <si>
    <t>EBITDA margin</t>
  </si>
  <si>
    <t>4,300 / 46,510 = 9.245%</t>
  </si>
  <si>
    <t>9.2%</t>
  </si>
  <si>
    <t>Opex intensity</t>
  </si>
  <si>
    <t>7,480 / 46,510 = 16.08%</t>
  </si>
  <si>
    <t>16.1%</t>
  </si>
  <si>
    <t>EBITDA waterfall closes</t>
  </si>
  <si>
    <t>7,200 + 1,341 - 1,491 - 390 - 1,880 - 480 = 4,300</t>
  </si>
  <si>
    <t>Opex table actual column sums</t>
  </si>
  <si>
    <t>1,650 + 3,300 + 760 + 850 + 920 = 7,480</t>
  </si>
  <si>
    <t>7,480</t>
  </si>
  <si>
    <t>Opex table budget column sums</t>
  </si>
  <si>
    <t>1,400 + 3,200 + 700 + 800 + 900 = 7,000</t>
  </si>
  <si>
    <t>7,000</t>
  </si>
  <si>
    <t>Opex variance ties to the waterfall step</t>
  </si>
  <si>
    <t>7,480 - 7,000 = 480, waterfall opex step = -480</t>
  </si>
  <si>
    <t>Matches</t>
  </si>
  <si>
    <t>Product gross margin percentages</t>
  </si>
  <si>
    <t>4,550/19,110 = 23.81%, 4,930/13,600 = 36.25%, 2,300/13,800 = 16.67%</t>
  </si>
  <si>
    <t>23.8, 36.2, 16.7</t>
  </si>
  <si>
    <t>FAIL</t>
  </si>
  <si>
    <t>Opex ratio in the alert</t>
  </si>
  <si>
    <t>7,000/46,000 = 15.22% budget, 7,480/46,510 = 16.08% actual</t>
  </si>
  <si>
    <t>15.2% to 16.1%</t>
  </si>
  <si>
    <t>Revenue growth in the alert</t>
  </si>
  <si>
    <t>510 / 46,000 = 1.11%. Opex growth 480 / 7,000 = 6.86%</t>
  </si>
  <si>
    <t>1.1% vs 6.9%</t>
  </si>
  <si>
    <t>Budget gross margin implied by the alert</t>
  </si>
  <si>
    <t>25.3% + 5.5pt = 30.8%. Budget GM 14,200 / 46,000 = 30.87%</t>
  </si>
  <si>
    <t>Consistent</t>
  </si>
  <si>
    <t>Budget EBITDA margin</t>
  </si>
  <si>
    <t>7,200 / 46,000 = 15.65%</t>
  </si>
  <si>
    <t>Alert says 15.7%, gauge says 15%</t>
  </si>
  <si>
    <t>Unit price decline is internally consistent</t>
  </si>
  <si>
    <t>127.7k - 118.0k = 9.7k, and 9.7 / 127.7 = 7.6%</t>
  </si>
  <si>
    <t>Price variance is consistent with the price decline</t>
  </si>
  <si>
    <t>A 7.6% decline on 46,510 revenue implies roughly -3,800 mn, not -390 mn</t>
  </si>
  <si>
    <t>-390</t>
  </si>
  <si>
    <t>Margin KPI progress</t>
  </si>
  <si>
    <t>9.2 / 15 = 0.6133</t>
  </si>
  <si>
    <t>0.6133</t>
  </si>
  <si>
    <t>Ageing buckets sum to total AR</t>
  </si>
  <si>
    <t>72,065 + 23,935 + 10,300 + 2,700 + 1,000 = 110,000</t>
  </si>
  <si>
    <t>110,000</t>
  </si>
  <si>
    <t>Overdue equals AR less current</t>
  </si>
  <si>
    <t>110,000 - 72,065 = 37,935</t>
  </si>
  <si>
    <t>37,935</t>
  </si>
  <si>
    <t>Overdue share</t>
  </si>
  <si>
    <t>37,935 / 110,000 = 34.49%</t>
  </si>
  <si>
    <t>34%</t>
  </si>
  <si>
    <t>Daily credit sales</t>
  </si>
  <si>
    <t>700,000 / 365 = 1,917.81</t>
  </si>
  <si>
    <t>1,917.81</t>
  </si>
  <si>
    <t>DSO</t>
  </si>
  <si>
    <t>110,000 / 1,917.81 = 57.36 days</t>
  </si>
  <si>
    <t>57.36</t>
  </si>
  <si>
    <t>Cash freed at target</t>
  </si>
  <si>
    <t>(57.357 - 47) x 1,917.81 = 19,863</t>
  </si>
  <si>
    <t>19,863</t>
  </si>
  <si>
    <t>Risk tiers sum to total AR</t>
  </si>
  <si>
    <t>65,500 + 39,500 + 5,000 = 110,000</t>
  </si>
  <si>
    <t>Worklist expected recovery per row</t>
  </si>
  <si>
    <t>Every row equals overdue x tier rate: High 40%, Medium 85%, Low 95%</t>
  </si>
  <si>
    <t>All 8 rows correct</t>
  </si>
  <si>
    <t>Option 1 DSO</t>
  </si>
  <si>
    <t>(110,000 - 8,500) / 1,917.81 = 52.9 days</t>
  </si>
  <si>
    <t>53d</t>
  </si>
  <si>
    <t>Option 2 DSO</t>
  </si>
  <si>
    <t>(110,000 - 21,300) / 1,917.81 = 46.2 days</t>
  </si>
  <si>
    <t>46d</t>
  </si>
  <si>
    <t>Option 3 amount</t>
  </si>
  <si>
    <t>Worklist recoveries 29,375 plus residual overdue 2,935 at 95% = 32,163.25</t>
  </si>
  <si>
    <t>32,163.25</t>
  </si>
  <si>
    <t>Option 3 DSO</t>
  </si>
  <si>
    <t>(110,000 - 32,163.25) / 1,917.81 = 40.6 days</t>
  </si>
  <si>
    <t>41d</t>
  </si>
  <si>
    <t>Top-5 concentration in the alert</t>
  </si>
  <si>
    <t>Top 5 by amount 27,000 / 37,935 = 71.17%</t>
  </si>
  <si>
    <t>71.17%</t>
  </si>
  <si>
    <t>Top-5 is used consistently</t>
  </si>
  <si>
    <t>Three different top-5 sets appear: 21,300, 27,000 and 23,225</t>
  </si>
  <si>
    <t>Inconsistent</t>
  </si>
  <si>
    <t>Medium and high tier share</t>
  </si>
  <si>
    <t>(39,500 + 5,000) / 110,000 = 40.45%</t>
  </si>
  <si>
    <t>40.45%</t>
  </si>
  <si>
    <t>Top-2 overdue share</t>
  </si>
  <si>
    <t>16,500 / 37,935 = 43.50%</t>
  </si>
  <si>
    <t>43.5%</t>
  </si>
  <si>
    <t>High-risk KPI matches the tier chart</t>
  </si>
  <si>
    <t>KPI 2,500 vs chart High 5,000</t>
  </si>
  <si>
    <t>Mismatch</t>
  </si>
  <si>
    <t>Action DSO impact matches its own amount</t>
  </si>
  <si>
    <t>20,000 / 1,917.81 = 10.43 days, card claims 5.21 days</t>
  </si>
  <si>
    <t>At risk equals the category sum</t>
  </si>
  <si>
    <t>3,800 + 3,050 + 400 + 500 + 95 = 7,845</t>
  </si>
  <si>
    <t>7,845</t>
  </si>
  <si>
    <t>Blocked, recoverable and lost sum to at risk</t>
  </si>
  <si>
    <t>4,300 + 3,450 + 95 = 7,845</t>
  </si>
  <si>
    <t>Blocked equals fraud plus other blocked</t>
  </si>
  <si>
    <t>3,800 + 500 = 4,300</t>
  </si>
  <si>
    <t>Recoverable equals duplicates plus overbilling</t>
  </si>
  <si>
    <t>3,050 + 400 = 3,450</t>
  </si>
  <si>
    <t>3,450</t>
  </si>
  <si>
    <t>Recovery scenario bars</t>
  </si>
  <si>
    <t>4,300 + 3,450 x 60% = 6,370. x 80% = 7,060. x 95% = 7,577.5</t>
  </si>
  <si>
    <t>All three correct</t>
  </si>
  <si>
    <t>Total protected at the simulator defaults</t>
  </si>
  <si>
    <t>3,800 + 500 + 3,050x95% + 400x90% = 7,557.5</t>
  </si>
  <si>
    <t>7,557.5</t>
  </si>
  <si>
    <t>The bar labelled 'Current' matches the current position</t>
  </si>
  <si>
    <t>Chart 'Current 95%' = 4,300 + 3,450 x 95% = 7,577.5. Actual current = 4,300 + 3,050 x 95% + 400 x 90% = 7,557.5</t>
  </si>
  <si>
    <t>7,577.5 vs 7,557.5, gap 20</t>
  </si>
  <si>
    <t>Flag count matches the tables</t>
  </si>
  <si>
    <t>KPI says 22, tables show 10</t>
  </si>
  <si>
    <t>Split invoices are inside the at-risk total</t>
  </si>
  <si>
    <t>1,950 reported in an alert but absent from 7,845</t>
  </si>
  <si>
    <t>Excluded</t>
  </si>
  <si>
    <t>Vendor score formula</t>
  </si>
  <si>
    <t>Every vendor scores flags x 20, ignoring amount and severity</t>
  </si>
  <si>
    <t>Weak model</t>
  </si>
  <si>
    <t>Duplicate share of paid leakage</t>
  </si>
  <si>
    <t>3,050 / (3,050 + 400) = 88.4%</t>
  </si>
  <si>
    <t>88%</t>
  </si>
  <si>
    <t>Week 5 headroom</t>
  </si>
  <si>
    <t>6,997.5 - 8,000 = -1,002.5</t>
  </si>
  <si>
    <t>-1,002</t>
  </si>
  <si>
    <t>Week 6 headroom</t>
  </si>
  <si>
    <t>9,012.5 - 8,000 = 1,012.5</t>
  </si>
  <si>
    <t>1,012.5</t>
  </si>
  <si>
    <t>Week 7 headroom</t>
  </si>
  <si>
    <t>21,112.5 - 8,000 = 13,112.5</t>
  </si>
  <si>
    <t>13,112.5</t>
  </si>
  <si>
    <t>Adverse rate implied by the FX loss</t>
  </si>
  <si>
    <t>1,777.05 mn / 3.3m USD = 538.5 IDR per USD move. 17,950 + 538.5 = 18,488.5</t>
  </si>
  <si>
    <t>18,488.5</t>
  </si>
  <si>
    <t>Loss avoided by the recommended hedge</t>
  </si>
  <si>
    <t>2,000,000 x 538.5 = 1,077 mn</t>
  </si>
  <si>
    <t>1,077</t>
  </si>
  <si>
    <t>Forward premium</t>
  </si>
  <si>
    <t>2,000,000 x 170 = 340 mn</t>
  </si>
  <si>
    <t>340</t>
  </si>
  <si>
    <t>Half hedge option</t>
  </si>
  <si>
    <t>1,077 / 2 = 538 avoided, 340 / 2 = 170 premium</t>
  </si>
  <si>
    <t>538 and 170</t>
  </si>
  <si>
    <t>Spot purchase cash out</t>
  </si>
  <si>
    <t>2,000,000 x 17,950 = 35,900 mn</t>
  </si>
  <si>
    <t>35,900</t>
  </si>
  <si>
    <t>Hedge coverage</t>
  </si>
  <si>
    <t>2,000,000 / 3,300,000 = 60.6%</t>
  </si>
  <si>
    <t>61%</t>
  </si>
  <si>
    <t>Option B is the recommended one on the numbers</t>
  </si>
  <si>
    <t>Option C avoids the same 1,077 with zero premium. Only liquidity justifies B, and the table does say so.</t>
  </si>
  <si>
    <t>Defensible but will be challenged</t>
  </si>
  <si>
    <t>Deferral action arithmetic</t>
  </si>
  <si>
    <t>Two cards compute -1,002.5 + 3,000 = 1,997.5 correctly. Two others do not.</t>
  </si>
  <si>
    <t>Mixed</t>
  </si>
  <si>
    <t>Combined action arithmetic</t>
  </si>
  <si>
    <t>2,000 + 3,000 = 5,000 should give +3,997.5, card shows +1,997.5</t>
  </si>
  <si>
    <t>Cross-agent</t>
  </si>
  <si>
    <t>Collection revenue base against Finance revenue</t>
  </si>
  <si>
    <t>700,000 annual credit sales vs 46,510 Finance revenue</t>
  </si>
  <si>
    <t>15x apart</t>
  </si>
  <si>
    <t>Treasury collection lever against the Collection book</t>
  </si>
  <si>
    <t>Treasury caps accelerate collection at 8,000 while Collection says one customer alone frees 8,500</t>
  </si>
  <si>
    <t>Not linked</t>
  </si>
  <si>
    <t>Cost variance across surfaces</t>
  </si>
  <si>
    <t>Waterfall -1,880 vs alerts and actions 2,930</t>
  </si>
  <si>
    <t>Two figures</t>
  </si>
  <si>
    <t>Dataset requirement versus what the mockup contains</t>
  </si>
  <si>
    <t>The replacement dataset is delivered as a separate workbook: Dataset_AI_Finance_Forum_v1.xlsx</t>
  </si>
  <si>
    <t>Requirement</t>
  </si>
  <si>
    <t>Client asked for</t>
  </si>
  <si>
    <t>In the current mockup</t>
  </si>
  <si>
    <t>In the replacement dataset</t>
  </si>
  <si>
    <t>Where to find it</t>
  </si>
  <si>
    <t>Legal entity</t>
  </si>
  <si>
    <t>Minimum 3</t>
  </si>
  <si>
    <t>None. No entity dimension exists anywhere in the payload.</t>
  </si>
  <si>
    <t>3: Indonesia (IDR), Singapore (SGD), Malaysia (MYR)</t>
  </si>
  <si>
    <t>Met</t>
  </si>
  <si>
    <t>10_DIM_Legal_Entity</t>
  </si>
  <si>
    <t>Store</t>
  </si>
  <si>
    <t>Minimum 20</t>
  </si>
  <si>
    <t>None</t>
  </si>
  <si>
    <t>24 stores across 4 formats, 4 channels and 18 cities</t>
  </si>
  <si>
    <t>11_DIM_Store</t>
  </si>
  <si>
    <t>Item</t>
  </si>
  <si>
    <t>Minimum 100</t>
  </si>
  <si>
    <t>None. Finance shows 3 product lines only.</t>
  </si>
  <si>
    <t>120 items, ABC classified, imported and local flagged</t>
  </si>
  <si>
    <t>13_DIM_Item</t>
  </si>
  <si>
    <t>Category</t>
  </si>
  <si>
    <t>A full variety</t>
  </si>
  <si>
    <t>12 categories across 5 category groups</t>
  </si>
  <si>
    <t>12_DIM_Category</t>
  </si>
  <si>
    <t>Period</t>
  </si>
  <si>
    <t>Full year through Sep 2026</t>
  </si>
  <si>
    <t>Single undated snapshot. No chart states its period.</t>
  </si>
  <si>
    <t>21 months, Jan 2025 to Sep 2026, monthly</t>
  </si>
  <si>
    <t>Met and extended</t>
  </si>
  <si>
    <t>20_FACT_Sales</t>
  </si>
  <si>
    <t>Customers</t>
  </si>
  <si>
    <t>Not specified</t>
  </si>
  <si>
    <t>8 in the worklist</t>
  </si>
  <si>
    <t>40 customers with terms, credit limits, risk tiers and payment behaviour</t>
  </si>
  <si>
    <t>14_DIM_Customer</t>
  </si>
  <si>
    <t>Vendors</t>
  </si>
  <si>
    <t>8 in the vendor radar</t>
  </si>
  <si>
    <t>30 vendors across 9 countries and 5 currencies</t>
  </si>
  <si>
    <t>15_DIM_Vendor</t>
  </si>
  <si>
    <t>Transactions</t>
  </si>
  <si>
    <t>10 leakage rows, 8 AR rows</t>
  </si>
  <si>
    <t>25,588 sales lines, 2,016 AR invoices, 630 AP invoices, 288 cash lines</t>
  </si>
  <si>
    <t>20 / 30 / 31 / 40</t>
  </si>
  <si>
    <t>Budget</t>
  </si>
  <si>
    <t>Implied by variance reporting</t>
  </si>
  <si>
    <t>A single budget EBITDA of 7,200 with no detail</t>
  </si>
  <si>
    <t>Budget revenue and COGS by month, entity and category</t>
  </si>
  <si>
    <t>21_FACT_Budget</t>
  </si>
  <si>
    <t>Opex detail</t>
  </si>
  <si>
    <t>Implied</t>
  </si>
  <si>
    <t>Flagged in the payload as 'illustrative, profit_summary has no opex line columns in this batch'</t>
  </si>
  <si>
    <t>5 opex lines by month and entity, actual and budget</t>
  </si>
  <si>
    <t>22_FACT_Opex</t>
  </si>
  <si>
    <t>Cash forecast</t>
  </si>
  <si>
    <t>13 closing balances with no drivers</t>
  </si>
  <si>
    <t>288 individual cash lines rolling up to 13 weekly balances</t>
  </si>
  <si>
    <t>40 / 41</t>
  </si>
  <si>
    <t>FX exposure</t>
  </si>
  <si>
    <t>A single 3.3m USD figure with no derivation</t>
  </si>
  <si>
    <t>Exposure built from open USD payables plus forecast USD purchases less USD receipts</t>
  </si>
  <si>
    <t>42 / 43</t>
  </si>
  <si>
    <t>Prior year comparison</t>
  </si>
  <si>
    <t>Not asked for</t>
  </si>
  <si>
    <t>Not possible</t>
  </si>
  <si>
    <t>2025 included so year-on-year is available</t>
  </si>
  <si>
    <t>Added</t>
  </si>
  <si>
    <t>Recommended cut-over</t>
  </si>
  <si>
    <t>1. Load the replacement dataset as one import batch and repoint all four agents at it. Retire batches 2, 11, 17 and 19.</t>
  </si>
  <si>
    <t>2. Rebuild the four agent KPI packs from sheet 50_Agent_KPIs. Every row there states its own derivation.</t>
  </si>
  <si>
    <t>3. Run sheet 90_Reconciliation in the dataset workbook after loading. All 14 checks must pass before the demo.</t>
  </si>
  <si>
    <t>4. Confirm the four yellow assumptions with the client: minimum cash buffer 8,000 mn, target DSO 47 days, spot rate 17,950 and the 3% adverse move.</t>
  </si>
  <si>
    <t>5. Keep the story shape you already have. The replacement numbers land close to the current ones on purpose: revenue about 46,500 mn a month, gross margin about 25%, opex about 16% of revenue, EBITDA about 9%, DSO about 62 days against a 47-day target, and one clear cash trough. Your storyline does not need rewriting.</t>
  </si>
  <si>
    <t>Additional filters required</t>
  </si>
  <si>
    <t>The current API exposes no filter parameters at all. Every filter below is already supported by the replacement dataset.</t>
  </si>
  <si>
    <t>Filter</t>
  </si>
  <si>
    <t>Applies to</t>
  </si>
  <si>
    <t>Source column</t>
  </si>
  <si>
    <t>Values available</t>
  </si>
  <si>
    <t>Why a CFO needs it</t>
  </si>
  <si>
    <t>All four agents</t>
  </si>
  <si>
    <t>legal_entity_id</t>
  </si>
  <si>
    <t>Indonesia, Singapore, Malaysia</t>
  </si>
  <si>
    <t>Must have</t>
  </si>
  <si>
    <t>A group CFO reviews by entity first. Without it the demo is one blended number nobody owns.</t>
  </si>
  <si>
    <t>Not built</t>
  </si>
  <si>
    <t>Period and date range</t>
  </si>
  <si>
    <t>month, year, quarter</t>
  </si>
  <si>
    <t>Jan 2025 to Sep 2026</t>
  </si>
  <si>
    <t>No chart on the current build states its period. The first CFO question will be whether that is the month or the year.</t>
  </si>
  <si>
    <t>Comparison basis</t>
  </si>
  <si>
    <t>actual, budget, prior year</t>
  </si>
  <si>
    <t>Budget for every month, 2025 as prior year</t>
  </si>
  <si>
    <t>Variance means nothing without naming what it is measured against.</t>
  </si>
  <si>
    <t>Store or branch</t>
  </si>
  <si>
    <t>Finance, Collection</t>
  </si>
  <si>
    <t>store_id</t>
  </si>
  <si>
    <t>24 stores</t>
  </si>
  <si>
    <t>Regional managers are held to store numbers.</t>
  </si>
  <si>
    <t>Region and country</t>
  </si>
  <si>
    <t>region, country</t>
  </si>
  <si>
    <t>18 cities across 3 countries</t>
  </si>
  <si>
    <t>Should have</t>
  </si>
  <si>
    <t>Supports the entity roll-up story.</t>
  </si>
  <si>
    <t>Category and category group</t>
  </si>
  <si>
    <t>Finance, Leakage</t>
  </si>
  <si>
    <t>category_id, category_group</t>
  </si>
  <si>
    <t>12 categories in 5 groups</t>
  </si>
  <si>
    <t>Mix is the headline margin story. It cannot be told without category.</t>
  </si>
  <si>
    <t>Item or SKU</t>
  </si>
  <si>
    <t>item_id, abc_class</t>
  </si>
  <si>
    <t>120 items, ABC classified</t>
  </si>
  <si>
    <t>Lets the agent drill from mix down to the actual SKU.</t>
  </si>
  <si>
    <t>Channel</t>
  </si>
  <si>
    <t>channel</t>
  </si>
  <si>
    <t>Retail, Wholesale, B2B Contract, E-commerce</t>
  </si>
  <si>
    <t>Discounting behaves very differently by channel.</t>
  </si>
  <si>
    <t>Imported versus local</t>
  </si>
  <si>
    <t>Finance, Treasury</t>
  </si>
  <si>
    <t>import_flag</t>
  </si>
  <si>
    <t>55% imported, 45% local</t>
  </si>
  <si>
    <t>This is the bridge between the margin story and the FX story.</t>
  </si>
  <si>
    <t>Customer</t>
  </si>
  <si>
    <t>customer_id</t>
  </si>
  <si>
    <t>40 customers</t>
  </si>
  <si>
    <t>The worklist is useless without it.</t>
  </si>
  <si>
    <t>Risk tier</t>
  </si>
  <si>
    <t>risk_tier</t>
  </si>
  <si>
    <t>Low, Medium, High</t>
  </si>
  <si>
    <t>Drives both the recovery rate and the credit hold decision.</t>
  </si>
  <si>
    <t>Ageing bucket</t>
  </si>
  <si>
    <t>aging_bucket</t>
  </si>
  <si>
    <t>Current, 1-30, 31-60, 61-90, 90+</t>
  </si>
  <si>
    <t>The standard AR review lens.</t>
  </si>
  <si>
    <t>Segment and industry</t>
  </si>
  <si>
    <t>segment, industry</t>
  </si>
  <si>
    <t>4 segments, 5 industries</t>
  </si>
  <si>
    <t>Nice to have</t>
  </si>
  <si>
    <t>Useful for the concentration narrative.</t>
  </si>
  <si>
    <t>Vendor</t>
  </si>
  <si>
    <t>vendor_id</t>
  </si>
  <si>
    <t>30 vendors</t>
  </si>
  <si>
    <t>The vendor risk radar depends on it.</t>
  </si>
  <si>
    <t>Leakage type</t>
  </si>
  <si>
    <t>leakage_type</t>
  </si>
  <si>
    <t>5 types</t>
  </si>
  <si>
    <t>This is the default chart on the current build, and it renders as zero.</t>
  </si>
  <si>
    <t>Leakage status</t>
  </si>
  <si>
    <t>leakage_status</t>
  </si>
  <si>
    <t>Blocked, Paid recoverable, Lost</t>
  </si>
  <si>
    <t>Separates money saved from money to claw back from money already gone. That distinction is the whole pitch.</t>
  </si>
  <si>
    <t>Currency</t>
  </si>
  <si>
    <t>Leakage, Treasury</t>
  </si>
  <si>
    <t>currency</t>
  </si>
  <si>
    <t>IDR, USD, JPY, CNY, MYR</t>
  </si>
  <si>
    <t>Needed to isolate the FX exposure.</t>
  </si>
  <si>
    <t>Spend category</t>
  </si>
  <si>
    <t>spend_category</t>
  </si>
  <si>
    <t>5 categories</t>
  </si>
  <si>
    <t>Useful for the procurement conversation.</t>
  </si>
  <si>
    <t>Week</t>
  </si>
  <si>
    <t>week</t>
  </si>
  <si>
    <t>W1 to W13</t>
  </si>
  <si>
    <t>The forecast is weekly. The user must be able to pick a week.</t>
  </si>
  <si>
    <t>Commitment type</t>
  </si>
  <si>
    <t>commitment_type</t>
  </si>
  <si>
    <t>Committed, Deferrable, Forecast</t>
  </si>
  <si>
    <t>Deferrable is the lever the agent recommends. It has to be filterable to be credible.</t>
  </si>
  <si>
    <t>Cash line</t>
  </si>
  <si>
    <t>cash_line</t>
  </si>
  <si>
    <t>7 line types</t>
  </si>
  <si>
    <t>Answers the question of why Week 5 is low in one click.</t>
  </si>
  <si>
    <t>Scenario reset</t>
  </si>
  <si>
    <t>baseline versus simulated</t>
  </si>
  <si>
    <t>Application state</t>
  </si>
  <si>
    <t>Lets you reset cleanly between takes while recording the demo video.</t>
  </si>
  <si>
    <t>Go / no-go gate before the CFO event</t>
  </si>
  <si>
    <t>Work top to bottom. Do not start recording the demo video until every 'Must clear' row is green.</t>
  </si>
  <si>
    <t>Gate</t>
  </si>
  <si>
    <t>Why it matters for a CFO audience</t>
  </si>
  <si>
    <t>Depends on</t>
  </si>
  <si>
    <t>Level</t>
  </si>
  <si>
    <t>Owner</t>
  </si>
  <si>
    <t>Due</t>
  </si>
  <si>
    <t>Leakage charts show real amounts</t>
  </si>
  <si>
    <t>The Leakage agent currently opens on a chart of five zeros. A CFO will read that as a broken product in the first ten seconds.</t>
  </si>
  <si>
    <t>QC-001, QC-024</t>
  </si>
  <si>
    <t>Must clear</t>
  </si>
  <si>
    <t>Not started</t>
  </si>
  <si>
    <t>All four agents run on one dataset</t>
  </si>
  <si>
    <t>The moment someone asks how DSO relates to revenue, the 15x gap is exposed and the whole model loses credibility.</t>
  </si>
  <si>
    <t>QC-002, QC-003, QC-044</t>
  </si>
  <si>
    <t>Action impact strings are computed, not typed</t>
  </si>
  <si>
    <t>Five action cards currently show arithmetic that contradicts their own text. One screenshot of that ends the deal.</t>
  </si>
  <si>
    <t>QC-004, QC-005, QC-016, QC-017, QC-019</t>
  </si>
  <si>
    <t>Conversation history cleaned or hidden</t>
  </si>
  <si>
    <t>Roughly 190 saved conversations include 'asdsad', 'hello world' and 'test test test'.</t>
  </si>
  <si>
    <t>2026-07-30</t>
  </si>
  <si>
    <t>The word 'illustrative' removed from anything visible</t>
  </si>
  <si>
    <t>Telling a room of CFOs the numbers are illustrative undercuts everything you just showed them.</t>
  </si>
  <si>
    <t>One number per concept</t>
  </si>
  <si>
    <t>High-risk exposure, top 5, cost variance and the EBITDA target each currently have two or three values.</t>
  </si>
  <si>
    <t>QC-007, QC-008, QC-009, QC-011, QC-014</t>
  </si>
  <si>
    <t>Every chart states its period</t>
  </si>
  <si>
    <t>The first question from the floor will be whether the figure is monthly or annual.</t>
  </si>
  <si>
    <t>Alerts and actions deduplicated</t>
  </si>
  <si>
    <t>47 alerts and 47 actions telling eight stories reads as a model that loops.</t>
  </si>
  <si>
    <t>QC-021, QC-023</t>
  </si>
  <si>
    <t>2026-08-06</t>
  </si>
  <si>
    <t>Cross-agent handover actually computes</t>
  </si>
  <si>
    <t>The agentic handover is the differentiator. Right now it is narrative only.</t>
  </si>
  <si>
    <t>QC-047, QC-022</t>
  </si>
  <si>
    <t>Filters live for entity, period and category</t>
  </si>
  <si>
    <t>Without these the demo cannot answer a follow-up question.</t>
  </si>
  <si>
    <t>Should clear</t>
  </si>
  <si>
    <t>Full stack</t>
  </si>
  <si>
    <t>Manual checklist fully run, twice</t>
  </si>
  <si>
    <t>Sheet 02. Nothing in this review covered buttons, menus, sliders or chat responses.</t>
  </si>
  <si>
    <t>Cold start eliminated</t>
  </si>
  <si>
    <t>Azure Container Apps can scale to zero. A 30-second load in front of the room is fatal.</t>
  </si>
  <si>
    <t>Infrastructure</t>
  </si>
  <si>
    <t>Price variance reconciled</t>
  </si>
  <si>
    <t>A 7.6% price decline sitting next to a 390 mn price variance is the one thing a sharp CFO will catch.</t>
  </si>
  <si>
    <t>Full dry run at event resolution</t>
  </si>
  <si>
    <t>Projector legibility and the 4-minute time budget.</t>
  </si>
  <si>
    <t>MT-026, MT-031</t>
  </si>
  <si>
    <t>2026-08-13</t>
  </si>
  <si>
    <t>Kerjakan dari atas ke bawah. Jangan mulai merekam video demo sebelum semua baris 'Wajib tuntas' berstatus Selesai.</t>
  </si>
  <si>
    <t>Mengapa penting bagi audiens CFO</t>
  </si>
  <si>
    <t>Bergantung pada</t>
  </si>
  <si>
    <t>Tenggat</t>
  </si>
  <si>
    <t>Grafik Leakage menampilkan angka sungguhan</t>
  </si>
  <si>
    <t>Agent Leakage saat ini terbuka pada grafik berisi lima angka nol. CFO akan membacanya sebagai produk rusak dalam sepuluh detik pertama.</t>
  </si>
  <si>
    <t>Wajib tuntas</t>
  </si>
  <si>
    <t>Belum mulai</t>
  </si>
  <si>
    <t>Keempat agent memakai satu dataset</t>
  </si>
  <si>
    <t>Begitu ada yang bertanya bagaimana DSO berhubungan dengan pendapatan, selisih 15 kali lipat itu terbuka dan seluruh model kehilangan kredibilitas.</t>
  </si>
  <si>
    <t>Teks dampak aksi dihitung, bukan diketik</t>
  </si>
  <si>
    <t>Lima action card saat ini menampilkan perhitungan yang bertentangan dengan teksnya sendiri. Satu tangkapan layar saja bisa menggagalkan peluang.</t>
  </si>
  <si>
    <t>Riwayat percakapan dibersihkan atau disembunyikan</t>
  </si>
  <si>
    <t>Sekitar 190 percakapan tersimpan berisi 'asdsad', 'hello world', dan 'test test test'.</t>
  </si>
  <si>
    <t>Kata 'illustrative' dihapus dari yang terlihat</t>
  </si>
  <si>
    <t>Satu angka untuk satu pengertian</t>
  </si>
  <si>
    <t>High-risk exposure, top 5, varians biaya, dan target EBITDA masing-masing saat ini punya dua sampai tiga nilai berbeda.</t>
  </si>
  <si>
    <t>Setiap grafik mencantumkan periodenya</t>
  </si>
  <si>
    <t>Pertanyaan pertama dari lantai akan berupa apakah angka itu bulanan atau tahunan.</t>
  </si>
  <si>
    <t>Alert dan aksi dirapikan dari duplikasi</t>
  </si>
  <si>
    <t>47 alert dan 47 aksi yang hanya menceritakan delapan hal terbaca sebagai model yang berputar-putar.</t>
  </si>
  <si>
    <t>Perpindahan antar agent benar-benar terhitung</t>
  </si>
  <si>
    <t>Perpindahan agentic adalah pembeda utama. Saat ini masih sebatas narasi.</t>
  </si>
  <si>
    <t>Filter entity, periode, dan kategori aktif</t>
  </si>
  <si>
    <t>Tanpa ketiganya, demo tidak bisa menjawab pertanyaan lanjutan.</t>
  </si>
  <si>
    <t>Sebaiknya tuntas</t>
  </si>
  <si>
    <t>Daftar uji manual dijalankan penuh, dua kali</t>
  </si>
  <si>
    <t>Sheet 02B. Tidak ada satu pun bagian tombol, menu, slider, dan chat yang tercakup dalam review ini.</t>
  </si>
  <si>
    <t>Cold start dihilangkan</t>
  </si>
  <si>
    <t>Azure Container Apps bisa turun ke nol instance. Jeda 30 detik di depan ruangan berakibat fatal.</t>
  </si>
  <si>
    <t>Infrastruktur</t>
  </si>
  <si>
    <t>Varians harga direkonsiliasi</t>
  </si>
  <si>
    <t>Penurunan harga 7,6% yang bersebelahan dengan varians harga 390 mn adalah satu hal yang paling mungkin ditangkap CFO yang teliti.</t>
  </si>
  <si>
    <t>Gladi bersih pada resolusi event</t>
  </si>
  <si>
    <t>01_Findings   every defect, with evidence, expected behaviour, likely root cause, owner, target date and status. Yellow columns are QC Tester result to fill in.</t>
  </si>
  <si>
    <t>02_Manual_Test_Checklist   31 tests from outside the app. Buttons, menus, sliders, chat and stability. Run these before the event.</t>
  </si>
  <si>
    <t>03_Formula_Checks   every calculation that reconciled, including the ones that PASS or FAIL.</t>
  </si>
  <si>
    <t>This review was done through the read-only API. Anything behind a button click, a slider or the chat box is untested and sits in sheet 02.</t>
  </si>
  <si>
    <t>Step</t>
  </si>
  <si>
    <t>Expected Result</t>
  </si>
  <si>
    <t>Sebagian</t>
  </si>
  <si>
    <t>Masih ada grafik yang kosong &gt;&gt; terutama dipart Leakage</t>
  </si>
  <si>
    <t>Lulus</t>
  </si>
  <si>
    <t>Gagal</t>
  </si>
  <si>
    <t>Saya cek DSO ke 53.5</t>
  </si>
  <si>
    <t>Belum ada contoh yang sesuai</t>
  </si>
  <si>
    <t>Total protected ikut berubah. Pada posisi default harus terbaca 7.557,5, bukan 7.577,5 (lihat QC-013).</t>
  </si>
  <si>
    <t>Belum bisa dibatalkan</t>
  </si>
  <si>
    <t>Agent Action belum terimpact pada Action History</t>
  </si>
  <si>
    <t>Belum dicoba</t>
  </si>
  <si>
    <t>Muncul error "Object of type Decimal is not JSON serializable"</t>
  </si>
  <si>
    <t>Terhambat</t>
  </si>
  <si>
    <t>Masih lambat</t>
  </si>
  <si>
    <t>Belum ada feature export dan download</t>
  </si>
  <si>
    <t>Masih butuh loading</t>
  </si>
  <si>
    <t>Masih menunggu scenario dulu</t>
  </si>
  <si>
    <t>Formula reconciliation</t>
  </si>
  <si>
    <t>Memberi tahu ruangan berisi CFO bahwa angkanya hanya ilustrasi akan meruntuhkan semua yang baru saja ditunjukkan. Cukup dibuktikan dengan tingkat confidence saja</t>
  </si>
  <si>
    <t>QC-007, QC-008, QC-009, QC-011, QC-013, QC-014</t>
  </si>
  <si>
    <t>Sedang dikerjakan</t>
  </si>
  <si>
    <t>Storylinde dengan batas waktu 4 menit.</t>
  </si>
  <si>
    <t>Gate Checking go / no-go sebelum event CFO</t>
  </si>
  <si>
    <t>Bukan cacat</t>
  </si>
  <si>
    <t>Selesai</t>
  </si>
  <si>
    <t>Tidak ada panel penjelasan rumus di mana pun pada aplikasi &gt;&gt; Reasoning</t>
  </si>
  <si>
    <t>Agentic Action tidak membawa tingkat keyakinan</t>
  </si>
  <si>
    <t>Sudah diperbaiki - menunggu uji ulang</t>
  </si>
  <si>
    <t>Uji ulang lulus</t>
  </si>
  <si>
    <t>Ditunda</t>
  </si>
  <si>
    <t>TO-DO LIST PENYELESAIAN TEMUAN QC</t>
  </si>
  <si>
    <t>RINGKASAN PEKERJAAN</t>
  </si>
  <si>
    <t>Masalah</t>
  </si>
  <si>
    <t>PIC</t>
  </si>
  <si>
    <t>Target</t>
  </si>
  <si>
    <t>Belum</t>
  </si>
  <si>
    <t>Belum selesai</t>
  </si>
  <si>
    <t>Penghambat demo belum selesai</t>
  </si>
  <si>
    <t>Masalah paling serius belum selesai</t>
  </si>
  <si>
    <t>Jatuh tempo s.d. 6 Agu</t>
  </si>
  <si>
    <t>Solusi dari hasil QC</t>
  </si>
  <si>
    <t>Penjelasan mudah</t>
  </si>
  <si>
    <t>Solusi praktis</t>
  </si>
  <si>
    <t>Kondisi deadline</t>
  </si>
  <si>
    <t>Grafik kategori Leakage menampilkan nol semua. Artinya, hasil yang dilihat pengguna belum dapat dipercaya atau belum sesuai fungsi yang dijanjikan.</t>
  </si>
  <si>
    <t>Kerjakan perubahan berikut: Jumlah per kategori harus sama dengan 7.845 mn yang tampil di KPI 'Flagged this cycle'. Setelah itu bandingkan kembali angka/tampilan sebelum dan sesudah perbaikan.</t>
  </si>
  <si>
    <t>Empat agent berjalan di atas empat batch data yang tidak berhubungan. Artinya, hasil yang dilihat pengguna belum dapat dipercaya atau belum sesuai fungsi yang dijanjikan.</t>
  </si>
  <si>
    <t>Kerjakan perubahan berikut: Satu ledger bersama, sehingga setiap angka bisa ditelusuri lintas agent. Setelah itu bandingkan kembali angka/tampilan sebelum dan sesudah perbaikan.</t>
  </si>
  <si>
    <t>Basis pendapatan Collection sekitar 15 kali lipat pendapatan Finance. Artinya, hasil yang dilihat pengguna belum dapat dipercaya atau belum sesuai fungsi yang dijanjikan.</t>
  </si>
  <si>
    <t>Kerjakan perubahan berikut: DSO harus dibagi dengan pendapatan yang sama dengan yang dilaporkan agent Finance. Setelah itu bandingkan kembali angka/tampilan sebelum dan sesudah perbaikan.</t>
  </si>
  <si>
    <t>Aksi penundaan pembayaran menggerakkan headroom ke arah yang salah. Artinya, hasil yang dilihat pengguna belum dapat dipercaya atau belum sesuai fungsi yang dijanjikan.</t>
  </si>
  <si>
    <t>Kerjakan perubahan berikut: Headroom Minggu 5: -1.002,5 -&gt; +1.997,5 dan headroom Minggu 6: 1.012,5 -&gt; -1.987,5, sehingga trade-off-nya terlihat. Setelah itu bandingkan kembali angka/tampilan sebelum dan sesudah perbaikan.</t>
  </si>
  <si>
    <t>Aksi mencampur headroom dengan saldo kas dalam satu perbandingan. Artinya, hasil yang dilihat pengguna belum dapat dipercaya atau belum sesuai fungsi yang dijanjikan.</t>
  </si>
  <si>
    <t>Kerjakan perubahan berikut: Satu satuan untuk satu metrik. Pilih headroom -1.002,5 -&gt; +97,5, atau saldo kas 6.997,5 -&gt; 8.097,5. Setelah itu bandingkan kembali angka/tampilan sebelum dan sesudah perbaikan.</t>
  </si>
  <si>
    <t>Riwayat percakapan penuh dengan pesan uji coba developer. Artinya, hasil yang dilihat pengguna belum dapat dipercaya atau belum sesuai fungsi yang dijanjikan.</t>
  </si>
  <si>
    <t>Kerjakan perubahan berikut: Riwayat yang sudah dikurasi, hanya berisi pertanyaan CFO yang kredibel, atau panel riwayat disembunyikan saat event. Setelah itu bandingkan kembali angka/tampilan sebelum dan sesudah perbaikan.</t>
  </si>
  <si>
    <t>Tidak ada panel penjelasan rumus di mana pun pada aplikasi &gt;&gt; Reasoning. Artinya, hasil yang dilihat pengguna belum dapat dipercaya atau belum sesuai fungsi yang dijanjikan.</t>
  </si>
  <si>
    <t>Kerjakan perubahan berikut: Setiap elemen di layar bisa menjelaskan angkanya sendiri saat diminta, lengkap dengan rumusnya. Setelah itu bandingkan kembali angka/tampilan sebelum dan sesudah perbaikan.</t>
  </si>
  <si>
    <t>KPI high-risk dan grafik risk tier tidak sama di layar yang sama. Artinya, hasil yang dilihat pengguna belum dapat dipercaya atau belum sesuai fungsi yang dijanjikan.</t>
  </si>
  <si>
    <t>Kerjakan perubahan berikut: Ganti nama KPI menjadi 'High-risk provision', atau tampilkan 5.000 agar sama dengan grafik. Setelah itu bandingkan kembali angka/tampilan sebelum dan sesudah perbaikan.</t>
  </si>
  <si>
    <t>Definisi 'Top 5' berbeda tiga kali di dalam satu agent. Artinya, hasil yang dilihat pengguna belum dapat dipercaya atau belum sesuai fungsi yang dijanjikan.</t>
  </si>
  <si>
    <t>Kerjakan perubahan berikut: Satu definisi saja, dan ditulis di layar. Setelah itu bandingkan kembali angka/tampilan sebelum dan sesudah perbaikan.</t>
  </si>
  <si>
    <t>Ada dua target margin EBITDA yang dipakai bersamaan. Artinya, hasil yang dilihat pengguna belum dapat dipercaya atau belum sesuai fungsi yang dijanjikan.</t>
  </si>
  <si>
    <t>Kerjakan perubahan berikut: Satu target saja. Kalau acuannya anggaran, pakai 15,7% di semua tempat. Setelah itu bandingkan kembali angka/tampilan sebelum dan sesudah perbaikan.</t>
  </si>
  <si>
    <t>Varians harga sekitar sepuluh kali lebih kecil dari penurunan harga yang diklaim. Artinya, hasil yang dilihat pengguna belum dapat dipercaya atau belum sesuai fungsi yang dijanjikan.</t>
  </si>
  <si>
    <t>Kerjakan perubahan berikut: Langkah harga di waterfall dan persentase penurunan di alert harus berasal dari perhitungan yang sama. Setelah itu bandingkan kembali angka/tampilan sebelum dan sesudah perbaikan.</t>
  </si>
  <si>
    <t>Varians COGS disebut dengan dua angka berbeda. Artinya, hasil yang dilihat pengguna belum dapat dipercaya atau belum sesuai fungsi yang dijanjikan.</t>
  </si>
  <si>
    <t>Kerjakan perubahan berikut: Satu angka varians biaya di seluruh waterfall, alert, dan action card. Setelah itu bandingkan kembali angka/tampilan sebelum dan sesudah perbaikan.</t>
  </si>
  <si>
    <t>Jumlah flag di KPI tidak cocok dengan tabelnya. Artinya, hasil yang dilihat pengguna belum dapat dipercaya atau belum sesuai fungsi yang dijanjikan.</t>
  </si>
  <si>
    <t>Kerjakan perubahan berikut: Angka pada KPI harus sama dengan jumlah baris yang benar-benar bisa dibuka pengguna. Setelah itu bandingkan kembali angka/tampilan sebelum dan sesudah perbaikan.</t>
  </si>
  <si>
    <t>Eksposur split invoice muncul di grafik tetapi di luar total. Artinya, hasil yang dilihat pengguna belum dapat dipercaya atau belum sesuai fungsi yang dijanjikan.</t>
  </si>
  <si>
    <t>Kerjakan perubahan berikut: Pilih: at risk menjadi 9.795, atau split invoice dikeluarkan dari grafik dan dijelaskan. Setelah itu bandingkan kembali angka/tampilan sebelum dan sesudah perbaikan.</t>
  </si>
  <si>
    <t>Dampak aksi tidak cocok dengan rekomendasinya sendiri. Artinya, hasil yang dilihat pengguna belum dapat dipercaya atau belum sesuai fungsi yang dijanjikan.</t>
  </si>
  <si>
    <t>Kerjakan perubahan berikut: Dampak dihitung ulang dari nilai yang ada di spec. Setelah itu bandingkan kembali angka/tampilan sebelum dan sesudah perbaikan.</t>
  </si>
  <si>
    <t>Aksi gabungan hanya menampilkan sebagian dampaknya sendiri. Artinya, hasil yang dilihat pengguna belum dapat dipercaya atau belum sesuai fungsi yang dijanjikan.</t>
  </si>
  <si>
    <t>Kerjakan perubahan berikut: -1.002,5 -&gt; +3.997,5. Setelah itu bandingkan kembali angka/tampilan sebelum dan sesudah perbaikan.</t>
  </si>
  <si>
    <t>Aksi credit line berpatokan pada minggu yang salah. Artinya, hasil yang dilihat pengguna belum dapat dipercaya atau belum sesuai fungsi yang dijanjikan.</t>
  </si>
  <si>
    <t>Kerjakan perubahan berikut: Baseline -1.002,5 (Minggu 5), hasil +1.997,5 setelah penarikan 3.000 mn. Setelah itu bandingkan kembali angka/tampilan sebelum dan sesudah perbaikan.</t>
  </si>
  <si>
    <t>Kunci nama agent tidak konsisten antar endpoint. Artinya, hasil yang dilihat pengguna belum dapat dipercaya atau belum sesuai fungsi yang dijanjikan.</t>
  </si>
  <si>
    <t>Kerjakan perubahan berikut: Satu kunci kanonik per agent di semua endpoint. Setelah itu bandingkan kembali angka/tampilan sebelum dan sesudah perbaikan.</t>
  </si>
  <si>
    <t>47 action card dengan duplikasi berat. Artinya, hasil yang dilihat pengguna belum dapat dipercaya atau belum sesuai fungsi yang dijanjikan.</t>
  </si>
  <si>
    <t>Kerjakan perubahan berikut: Rapikan menjadi sekitar tiga sampai lima aksi berbeda per agent untuk demo. Setelah itu bandingkan kembali angka/tampilan sebelum dan sesudah perbaikan.</t>
  </si>
  <si>
    <t>Dampak aksi bertumpuk tanpa pengaman double counting. Artinya, hasil yang dilihat pengguna belum dapat dipercaya atau belum sesuai fungsi yang dijanjikan.</t>
  </si>
  <si>
    <t>Kerjakan perubahan berikut: Tampilan portofolio yang menetkan aksi yang tumpang tindih dan menampilkan satu dampak gabungan. Setelah itu bandingkan kembali angka/tampilan sebelum dan sesudah perbaikan.</t>
  </si>
  <si>
    <t>Agent Leakage terbuka pada grafik kosong. Artinya, hasil yang dilihat pengguna belum dapat dipercaya atau belum sesuai fungsi yang dijanjikan.</t>
  </si>
  <si>
    <t>Kerjakan perubahan berikut: Buka pada tampilan yang berisi data. Setelah itu bandingkan kembali angka/tampilan sebelum dan sesudah perbaikan.</t>
  </si>
  <si>
    <t>Aplikasi sama sekali tidak punya filter. Artinya, hasil yang dilihat pengguna belum dapat dipercaya atau belum sesuai fungsi yang dijanjikan.</t>
  </si>
  <si>
    <t>Kerjakan perubahan berikut: Minimal: legal entity, periode, basis pembanding, toko, kategori, pelanggan, risk tier, bucket umur piutang, vendor, jenis kebocoran, minggu, dan jenis komitmen. Setelah itu bandingkan kembali angka/tampilan sebelum dan sesudah perbaikan.</t>
  </si>
  <si>
    <t>Volume data jauh di bawah permintaan klien. Artinya, hasil yang dilihat pengguna belum dapat dipercaya atau belum sesuai fungsi yang dijanjikan.</t>
  </si>
  <si>
    <t>Kerjakan perubahan berikut: Minimal 3 legal entity, 20 toko, 100 item, kategori yang lengkap, dan data bulanan sampai Sep 2026. Setelah itu bandingkan kembali angka/tampilan sebelum dan sesudah perbaikan.</t>
  </si>
  <si>
    <t>Perilaku interaktif tidak bisa diverifikasi dari luar. Artinya, hasil yang dilihat pengguna belum dapat dipercaya atau belum sesuai fungsi yang dijanjikan.</t>
  </si>
  <si>
    <t>Kerjakan perubahan berikut: Jalankan sheet 02 secara manual pada aplikasi live dan catat hasilnya. Setelah itu bandingkan kembali angka/tampilan sebelum dan sesudah perbaikan.</t>
  </si>
  <si>
    <t>Tuas penagihan Treasury tidak terhubung ke buku Collection. Artinya, hasil yang dilihat pengguna belum dapat dipercaya atau belum sesuai fungsi yang dijanjikan.</t>
  </si>
  <si>
    <t>Kerjakan perubahan berikut: Batas maksimum tuas Treasury seharusnya diturunkan dari worklist Collection, dan menarik kas di Treasury seharusnya mengurangi piutang di Collection. Setelah itu bandingkan kembali angka/tampilan sebelum dan sesudah perbaikan.</t>
  </si>
  <si>
    <t>Simulator tidak bisa menyimpan, memuat, atau membandingkan skenario. Artinya, hasil yang dilihat pengguna belum dapat dipercaya atau belum sesuai fungsi yang dijanjikan.</t>
  </si>
  <si>
    <t>Kerjakan perubahan berikut: Minimal bisa menyimpan satu skenario dan membandingkannya berdampingan dengan baseline. Setelah itu bandingkan kembali angka/tampilan sebelum dan sesudah perbaikan.</t>
  </si>
  <si>
    <t>Simulator tidak punya preset. Artinya, hasil yang dilihat pengguna belum dapat dipercaya atau belum sesuai fungsi yang dijanjikan.</t>
  </si>
  <si>
    <t>Kerjakan perubahan berikut: Tiga sampai empat preset bernama per agent, supaya presenter tidak perlu menggeser slider dengan presisi di depan kamera. Setelah itu bandingkan kembali angka/tampilan sebelum dan sesudah perbaikan.</t>
  </si>
  <si>
    <t>KPI tile tidak punya sparkline tren. Artinya, hasil yang dilihat pengguna belum dapat dipercaya atau belum sesuai fungsi yang dijanjikan.</t>
  </si>
  <si>
    <t>Kerjakan perubahan berikut: Ada deret tren pendek di setiap KPI, supaya CFO melihat arahnya tanpa membuka grafik. Setelah itu bandingkan kembali angka/tampilan sebelum dan sesudah perbaikan.</t>
  </si>
  <si>
    <t>Agentic Action tidak membawa tingkat keyakinan. Artinya, hasil yang dilihat pengguna belum dapat dipercaya atau belum sesuai fungsi yang dijanjikan.</t>
  </si>
  <si>
    <t>Kerjakan perubahan berikut: Ada tingkat keyakinan beserta dasarnya di setiap aksi. CFO tidak akan menyetujui rekomendasi yang tidak mau menyebut seberapa yakin dirinya. Setelah itu bandingkan kembali angka/tampilan sebelum dan sesudah perbaikan.</t>
  </si>
  <si>
    <t>Tidak ada tampilan rantai saat aksi dieksekusi. Artinya, hasil yang dilihat pengguna belum dapat dipercaya atau belum sesuai fungsi yang dijanjikan.</t>
  </si>
  <si>
    <t>Kerjakan perubahan berikut: Ada jejak eksekusi yang terlihat melintasi para penerima. Ini momen agentic terkuat dalam demo, dan saat ini tidak punya visual sama sekali. Setelah itu bandingkan kembali angka/tampilan sebelum dan sesudah perbaikan.</t>
  </si>
  <si>
    <t>Tidak ada pengalih Bahasa Indonesia. Artinya, hasil yang dilihat pengguna belum dapat dipercaya atau belum sesuai fungsi yang dijanjikan.</t>
  </si>
  <si>
    <t>Kerjakan perubahan berikut: Ada pengalih bahasa. Audiensnya orang Indonesia, dan kemampuan berpindah ke Bahasa di tengah demo adalah pembeda yang tidak akan ditunjukkan kompetitor. Setelah itu bandingkan kembali angka/tampilan sebelum dan sesudah perbaikan.</t>
  </si>
  <si>
    <t>Tidak ada umpan notifikasi status. Artinya, hasil yang dilihat pengguna belum dapat dipercaya atau belum sesuai fungsi yang dijanjikan.</t>
  </si>
  <si>
    <t>Kerjakan perubahan berikut: Ada umpan aktivitas terpisah dari alert, menampilkan apa yang sudah dieksekusi agent dan kapan. Setelah itu bandingkan kembali angka/tampilan sebelum dan sesudah perbaikan.</t>
  </si>
  <si>
    <t>Tidak ada grafik yang mencantumkan periodenya. Artinya, hasil yang dilihat pengguna belum dapat dipercaya atau belum sesuai fungsi yang dijanjikan.</t>
  </si>
  <si>
    <t>Kerjakan perubahan berikut: Setiap judul grafik mencantumkan periode, misalnya 'Okt 2025 sampai Sep 2026'. Setelah itu bandingkan kembali angka/tampilan sebelum dan sesudah perbaikan.</t>
  </si>
  <si>
    <t>Grafik kas tidak bisa menjawab mengapa Minggu 5 rendah. Artinya, hasil yang dilihat pengguna belum dapat dipercaya atau belum sesuai fungsi yang dijanjikan.</t>
  </si>
  <si>
    <t>Kerjakan perubahan berikut: Tampilkan arus masuk, arus keluar, dan lini terbesar di baliknya per minggu, supaya pertanyaan lanjutan bisa dijawab langsung di layar. Setelah itu bandingkan kembali angka/tampilan sebelum dan sesudah perbaikan.</t>
  </si>
  <si>
    <t>Kata 'illustrative' terekspos di dalam payload. Artinya, hasil yang dilihat pengguna belum dapat dipercaya atau belum sesuai fungsi yang dijanjikan.</t>
  </si>
  <si>
    <t>Kerjakan perubahan berikut: Hapus catatan developer dari apa pun yang bisa dilihat CFO. Kalau perlu disclosure, cukup satu badge 'demo data' yang rapi. Setelah itu bandingkan kembali angka/tampilan sebelum dan sesudah perbaikan.</t>
  </si>
  <si>
    <t>Belum jelas apakah keterlambatan pelanggan sudah masuk ke dalam forecast. Artinya, hasil yang dilihat pengguna belum dapat dipercaya atau belum sesuai fungsi yang dijanjikan.</t>
  </si>
  <si>
    <t>Kerjakan perubahan berikut: Nyatakan dengan jelas apakah forecast disajikan sebelum atau sesudah penundaan. Setelah itu bandingkan kembali angka/tampilan sebelum dan sesudah perbaikan.</t>
  </si>
  <si>
    <t>Starter prompt tidak menampilkan bagian terkuat dari cerita. Artinya, hasil yang dilihat pengguna belum dapat dipercaya atau belum sesuai fungsi yang dijanjikan.</t>
  </si>
  <si>
    <t>Kerjakan perubahan berikut: Tambahkan prompt seperti 'Agent mana yang harus memperbaiki masalah margin?' dan 'Kalau Collection menarik kas lebih awal, apa dampaknya ke Minggu 5?' Setelah itu bandingkan kembali angka/tampilan sebelum dan sesudah perbaikan.</t>
  </si>
  <si>
    <t>Dua angka yang hampir sama artinya berbeda. Artinya, hasil yang dilihat pengguna belum dapat dipercaya atau belum sesuai fungsi yang dijanjikan.</t>
  </si>
  <si>
    <t>Kerjakan perubahan berikut: Pisahkan keduanya di layar, atau bulatkan berbeda supaya tidak tertukar saat presentasi. Setelah itu bandingkan kembali angka/tampilan sebelum dan sesudah perbaikan.</t>
  </si>
  <si>
    <t>Aksi memberi label konsentrasi top-2 sebagai porsi overdue keseluruhan. Artinya, hasil yang dilihat pengguna belum dapat dipercaya atau belum sesuai fungsi yang dijanjikan.</t>
  </si>
  <si>
    <t>Kerjakan perubahan berikut: Beri label 'Porsi top-2 terhadap overdue'. Setelah itu bandingkan kembali angka/tampilan sebelum dan sesudah perbaikan.</t>
  </si>
  <si>
    <t>47 alert yang sebenarnya menceritakan sekitar delapan hal. Artinya, hasil yang dilihat pengguna belum dapat dipercaya atau belum sesuai fungsi yang dijanjikan.</t>
  </si>
  <si>
    <t>Kerjakan perubahan berikut: Kelompokkan menjadi satu alert per isu dasar, dengan peringkat severity. Setelah itu bandingkan kembali angka/tampilan sebelum dan sesudah perbaikan.</t>
  </si>
  <si>
    <t>Aksi FX menyatakan eksposur turun menjadi sebesar nilai hedge. Artinya, hasil yang dilihat pengguna belum dapat dipercaya atau belum sesuai fungsi yang dijanjikan.</t>
  </si>
  <si>
    <t>Kerjakan perubahan berikut: 'Eksposur tanpa lindung nilai: USD 1,3 juta -&gt; USD 0' atau 'Coverage: 61% -&gt; 100%'. Setelah itu bandingkan kembali angka/tampilan sebelum dan sesudah perbaikan.</t>
  </si>
  <si>
    <t>Simulator tidak punya pemilih cakupan. Artinya, hasil yang dilihat pengguna belum dapat dipercaya atau belum sesuai fungsi yang dijanjikan.</t>
  </si>
  <si>
    <t>Kerjakan perubahan berikut: Ada kontrol cakupan, atau pernyataan jelas di layar bahwa tuas berlaku untuk seluruh buku. Setelah itu bandingkan kembali angka/tampilan sebelum dan sesudah perbaikan.</t>
  </si>
  <si>
    <t>Batang berlabel 'Current 95%' tidak menunjukkan posisi saat ini. Artinya, hasil yang dilihat pengguna belum dapat dipercaya atau belum sesuai fungsi yang dijanjikan.</t>
  </si>
  <si>
    <t>Kerjakan perubahan berikut: Batang 'Current' memakai set asumsi yang sama dengan KPI, sehingga bernilai 7.557,5. Alternatif lain, ganti namanya menjadi '95% untuk semua' supaya tidak lagi mengaku sebagai posisi saat ini. Setelah itu bandingkan kembali angka/tampilan sebelum dan sesudah perbaikan.</t>
  </si>
  <si>
    <t>Tingkat recovery mengabaikan umur piutang. Artinya, hasil yang dilihat pengguna belum dapat dipercaya atau belum sesuai fungsi yang dijanjikan.</t>
  </si>
  <si>
    <t>Kerjakan perubahan berikut: Tingkat recovery seharusnya merupakan fungsi dari tier DAN bucket umur piutang. Setelah itu bandingkan kembali angka/tampilan sebelum dan sesudah perbaikan.</t>
  </si>
  <si>
    <t>Satu persentase margin dibulatkan ke bawah, yang lain dibulatkan normal. Artinya, hasil yang dilihat pengguna belum dapat dipercaya atau belum sesuai fungsi yang dijanjikan.</t>
  </si>
  <si>
    <t>Kerjakan perubahan berikut: Pembulatan konsisten, half up. Setelah itu bandingkan kembali angka/tampilan sebelum dan sesudah perbaikan.</t>
  </si>
  <si>
    <t>Gauge DSO menampilkan progres 120% pada metrik yang justru lebih baik bila rendah. Artinya, hasil yang dilihat pengguna belum dapat dipercaya atau belum sesuai fungsi yang dijanjikan.</t>
  </si>
  <si>
    <t>Kerjakan perubahan berikut: Balik arah gauge, atau tampilkan selisih hari terhadap target, bukan persentase progres. Setelah itu bandingkan kembali angka/tampilan sebelum dan sesudah perbaikan.</t>
  </si>
  <si>
    <t>Format angka tidak konsisten dalam satu baris KPI. Artinya, hasil yang dilihat pengguna belum dapat dipercaya atau belum sesuai fungsi yang dijanjikan.</t>
  </si>
  <si>
    <t>Kerjakan perubahan berikut: Satu format per satuan di seluruh aplikasi. Setelah itu bandingkan kembali angka/tampilan sebelum dan sesudah perbaikan.</t>
  </si>
  <si>
    <t>Aksi memberi label saldo dua pelanggan sebagai total piutang overdue. Artinya, hasil yang dilihat pengguna belum dapat dipercaya atau belum sesuai fungsi yang dijanjikan.</t>
  </si>
  <si>
    <t>Kerjakan perubahan berikut: 'Top-2 overdue: 16.500 -&gt; 13.500'. Setelah itu bandingkan kembali angka/tampilan sebelum dan sesudah perbaikan.</t>
  </si>
  <si>
    <t>Aksi memakai angka setahun sementara dashboard menampilkan angka per siklus. Artinya, hasil yang dilihat pengguna belum dapat dipercaya atau belum sesuai fungsi yang dijanjikan.</t>
  </si>
  <si>
    <t>Kerjakan perubahan berikut: Cantumkan basisnya di kartu: 'Discount leakage (disetahunkan)'. Setelah itu bandingkan kembali angka/tampilan sebelum dan sesudah perbaikan.</t>
  </si>
  <si>
    <t>Angka 900 mn yang sama muncul dengan tiga nama berbeda. Artinya, hasil yang dilihat pengguna belum dapat dipercaya atau belum sesuai fungsi yang dijanjikan.</t>
  </si>
  <si>
    <t>Kerjakan perubahan berikut: Satu nama, dengan rincian pemecahannya di bawahnya. Setelah itu bandingkan kembali angka/tampilan sebelum dan sesudah perbaikan.</t>
  </si>
  <si>
    <t>Dua grafik di layar yang sama mengurutkan pasangan data ke arah berlawanan. Artinya, hasil yang dilihat pengguna belum dapat dipercaya atau belum sesuai fungsi yang dijanjikan.</t>
  </si>
  <si>
    <t>Kerjakan perubahan berikut: Satu urutan saja. Setelah itu bandingkan kembali angka/tampilan sebelum dan sesudah perbaikan.</t>
  </si>
  <si>
    <t>Batang bernilai nol di sebelah batang bernilai terbaca seperti gagal render. Artinya, hasil yang dilihat pengguna belum dapat dipercaya atau belum sesuai fungsi yang dijanjikan.</t>
  </si>
  <si>
    <t>Kerjakan perubahan berikut: Tampilkan satu nilai dengan garis acuan, atau beri label eksplisit pada batang nol. Setelah itu bandingkan kembali angka/tampilan sebelum dan sesudah perbaikan.</t>
  </si>
  <si>
    <t>Grafik samping menduplikasi grafik utama persis. Artinya, hasil yang dilihat pengguna belum dapat dipercaya atau belum sesuai fungsi yang dijanjikan.</t>
  </si>
  <si>
    <t>Kerjakan perubahan berikut: Gunakan slot samping untuk sesuatu yang tidak ditampilkan tampilan utama. Setelah itu bandingkan kembali angka/tampilan sebelum dan sesudah perbaikan.</t>
  </si>
  <si>
    <t>Judul alert menyebut Minggu 5 tetapi datanya Minggu 6. Artinya, hasil yang dilihat pengguna belum dapat dipercaya atau belum sesuai fungsi yang dijanjikan.</t>
  </si>
  <si>
    <t>Kerjakan perubahan berikut: Judul harus cocok dengan minggu yang ada di buktinya. Setelah itu bandingkan kembali angka/tampilan sebelum dan sesudah perbaikan.</t>
  </si>
  <si>
    <t>Skor risiko vendor mengabaikan nilai dan tingkat keparahan. Artinya, hasil yang dilihat pengguna belum dapat dipercaya atau belum sesuai fungsi yang dijanjikan.</t>
  </si>
  <si>
    <t>Kerjakan perubahan berikut: Skor ditimbang berdasarkan eksposur dan severity, sehingga kasus fraud berada di peringkat pertama. Setelah itu bandingkan kembali angka/tampilan sebelum dan sesudah perbaikan.</t>
  </si>
  <si>
    <t>Tidak ada alur hitung dengan parameter sendiri. Artinya, hasil yang dilihat pengguna belum dapat dipercaya atau belum sesuai fungsi yang dijanjikan.</t>
  </si>
  <si>
    <t>Kerjakan perubahan berikut: Ada jalur dari asumsi yang diberikan CFO langsung menuju jawaban yang dihitung ulang dan diperlihatkan langkahnya. Setelah itu bandingkan kembali angka/tampilan sebelum dan sesudah perbaikan.</t>
  </si>
  <si>
    <t>Kartu next best action tidak ada di dashboard. Artinya, hasil yang dilihat pengguna belum dapat dipercaya atau belum sesuai fungsi yang dijanjikan.</t>
  </si>
  <si>
    <t>Kerjakan perubahan berikut: Ada satu atau dua next best action di dashboard itu sendiri, bersebelahan dengan buktinya. Setelah itu bandingkan kembali angka/tampilan sebelum dan sesudah perbaikan.</t>
  </si>
  <si>
    <t>Kolom bucket pada worklist menempatkan seluruh saldo ke bucket tertua. Artinya, hasil yang dilihat pengguna belum dapat dipercaya atau belum sesuai fungsi yang dijanjikan.</t>
  </si>
  <si>
    <t>Kerjakan perubahan berikut: Beri label 'Bucket tertua', atau pecah saldo pelanggan per bucket. Setelah itu bandingkan kembali angka/tampilan sebelum dan sesudah perbaikan.</t>
  </si>
  <si>
    <t>Status pekerjaan</t>
  </si>
  <si>
    <t>Urutan pengerjaan</t>
  </si>
  <si>
    <t>Checklist to-do</t>
  </si>
  <si>
    <t>Setiap baris adalah satu masalah. Baca penjelasan dan solusi, kerjakan perbaikannya, lalu pilih Sudah atau Belum pada checklist.</t>
  </si>
  <si>
    <t>Cara kerja mandiri: mulai dari Sangat mendesak, lakukan Solusi praktis, lalu ubah Checklist to-do menjadi Sudah. Setelah itu perbarui status pada daftar temuan utama.</t>
  </si>
  <si>
    <t>Arti ringkasan: Belum selesai = belum ditutup. Penghambat demo = dapat mengganggu presentasi. Masalah paling serius = harus dikerjakan lebih dahulu. Jatuh tempo = target penyelesaian.</t>
  </si>
  <si>
    <t>Sudah</t>
  </si>
  <si>
    <t>Objective inti</t>
  </si>
  <si>
    <t>Menampilkan nilai Leakage yang benar dan sama dengan total KPI.</t>
  </si>
  <si>
    <t>Membuat semua agent memakai satu sumber data yang sama agar angkanya saling terhubung.</t>
  </si>
  <si>
    <t>Menghitung DSO dengan dasar pendapatan yang sama dan dapat dipertanggungjawabkan.</t>
  </si>
  <si>
    <t>Memastikan dampak aksi terhadap kas dan headroom dihitung pada minggu yang benar.</t>
  </si>
  <si>
    <t>Menampilkan riwayat demo yang bersih dan profesional tanpa pesan pengujian developer.</t>
  </si>
  <si>
    <t>Membuat setiap angka dapat dijelaskan beserta sumber dan rumusnya.</t>
  </si>
  <si>
    <t>Membuat grafik menyampaikan data yang benar, jelas, dan tidak membingungkan.</t>
  </si>
  <si>
    <t>Menggunakan satu aturan Top 5 yang sama di seluruh tampilan.</t>
  </si>
  <si>
    <t>Menggunakan satu target margin EBITDA yang konsisten.</t>
  </si>
  <si>
    <t>Menyamakan dampak harga pada alert, grafik, dan perhitungan dasar.</t>
  </si>
  <si>
    <t>Menyajikan satu angka varians biaya yang konsisten dan jelas komponennya.</t>
  </si>
  <si>
    <t>Menyamakan jumlah flag pada KPI dengan data yang dapat dilihat pengguna.</t>
  </si>
  <si>
    <t>Memastikan eksposur split invoice masuk ke total yang benar atau dijelaskan terpisah.</t>
  </si>
  <si>
    <t>Memastikan rekomendasi dan dampak perbaikannya dihitung secara benar.</t>
  </si>
  <si>
    <t>Menggunakan identitas agent yang sama di seluruh layanan agar integrasi tidak gagal.</t>
  </si>
  <si>
    <t>Mengurangi alert dan rekomendasi berulang agar pengguna fokus pada isu utama.</t>
  </si>
  <si>
    <t>Menghitung dampak gabungan tanpa menghitung manfaat yang sama dua kali.</t>
  </si>
  <si>
    <t>Menjelaskan periode setiap angka agar nilai bulanan, per siklus, dan tahunan tidak tertukar.</t>
  </si>
  <si>
    <t>Menyediakan dataset yang cukup lengkap untuk demo yang realistis.</t>
  </si>
  <si>
    <t>Memastikan fungsi ini bekerja konsisten, mudah dipahami, dan aman digunakan saat demo.</t>
  </si>
  <si>
    <t>Menghubungkan penagihan Collection dengan perubahan kas Treasury.</t>
  </si>
  <si>
    <t>Memudahkan pengguna menyimpan dan membandingkan skenario dengan baseline.</t>
  </si>
  <si>
    <t>Menyediakan pilihan skenario siap pakai agar demo berjalan cepat dan konsisten.</t>
  </si>
  <si>
    <t>Menampilkan arah perubahan KPI tanpa harus membuka grafik lain.</t>
  </si>
  <si>
    <t>Menjelaskan seberapa dapat dipercaya setiap rekomendasi agent.</t>
  </si>
  <si>
    <t>Memungkinkan demo dan penjelasan ditampilkan dalam Bahasa Indonesia.</t>
  </si>
  <si>
    <t>Menampilkan aktivitas dan status pekerjaan agent secara jelas.</t>
  </si>
  <si>
    <t>Menghilangkan catatan teknis yang dapat menurunkan kredibilitas demo.</t>
  </si>
  <si>
    <t>Menggunakan nama metrik yang sesuai dengan angka yang ditampilkan.</t>
  </si>
  <si>
    <t>Menjelaskan posisi FX dan hasil lindung nilai dengan metrik yang tepat.</t>
  </si>
  <si>
    <t>Menghitung peluang recovery berdasarkan risiko dan umur piutang.</t>
  </si>
  <si>
    <t>Memprioritaskan vendor berdasarkan nilai risiko dan tingkat keparahan.</t>
  </si>
  <si>
    <t>Memungkinkan CFO memasukkan asumsi sendiri dan memperoleh hasil hitung yang transparan.</t>
  </si>
  <si>
    <t>Menampilkan tindakan lanjutan tepat di dekat data yang menjadi dasarnya.</t>
  </si>
  <si>
    <t>Menjelaskan umur piutang pelanggan tanpa menyesatkan pembaca.</t>
  </si>
  <si>
    <t>DAFTAR PEKERJAAN DAN CHECKLIST — SELESAIKAN YANG SANGAT MENDESAK TERLEBIH DAHULU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</si>
</sst>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4" x14ac:knownFonts="1">
    <font>
      <sz val="11"/>
      <color theme="1"/>
      <name val="Calibri"/>
      <family val="2"/>
      <charset val="1"/>
    </font>
    <font>
      <b/>
      <sz val="15"/>
      <color rgb="FF1F3864"/>
      <name val="Arial"/>
      <charset val="1"/>
    </font>
    <font>
      <i/>
      <sz val="10"/>
      <color rgb="FF595959"/>
      <name val="Arial"/>
      <charset val="1"/>
    </font>
    <font>
      <b/>
      <sz val="11"/>
      <color rgb="FF2E5C8A"/>
      <name val="Arial"/>
      <charset val="1"/>
    </font>
    <font>
      <b/>
      <sz val="10"/>
      <color rgb="FFFFFFFF"/>
      <name val="Arial"/>
      <charset val="1"/>
    </font>
    <font>
      <sz val="10"/>
      <name val="Arial"/>
      <charset val="1"/>
    </font>
    <font>
      <sz val="10"/>
      <name val="Aptos Narrow"/>
      <family val="2"/>
    </font>
    <font>
      <sz val="11"/>
      <color theme="1"/>
      <name val="Aptos Narrow"/>
      <family val="2"/>
    </font>
    <font>
      <b/>
      <sz val="15"/>
      <color rgb="FF1F3864"/>
      <name val="Aptos Narrow"/>
      <family val="2"/>
    </font>
    <font>
      <i/>
      <sz val="10"/>
      <color rgb="FF595959"/>
      <name val="Aptos Narrow"/>
      <family val="2"/>
    </font>
    <font>
      <b/>
      <sz val="11"/>
      <color rgb="FF2E5C8A"/>
      <name val="Aptos Narrow"/>
      <family val="2"/>
    </font>
    <font>
      <b/>
      <sz val="10"/>
      <name val="Aptos Narrow"/>
      <family val="2"/>
    </font>
    <font>
      <b/>
      <sz val="22"/>
      <color rgb="FF1F3864"/>
      <name val="Aptos Narrow"/>
      <family val="2"/>
    </font>
    <font>
      <b/>
      <sz val="10"/>
      <color rgb="FFFFFFFF"/>
      <name val="Aptos Narrow"/>
      <family val="2"/>
    </font>
    <font>
      <b/>
      <sz val="10"/>
      <color rgb="FF2E5C8A"/>
      <name val="Aptos Narrow"/>
      <family val="2"/>
    </font>
    <font>
      <b/>
      <sz val="20"/>
      <color rgb="FF0000FF"/>
      <name val="Aptos Narrow"/>
      <family val="2"/>
    </font>
    <font>
      <b/>
      <sz val="10"/>
      <color rgb="FFFFFF00"/>
      <name val="Aptos Narrow"/>
      <family val="2"/>
    </font>
    <font>
      <b/>
      <sz val="11"/>
      <color rgb="FFFFFFFF"/>
      <name val="Calibri"/>
      <family val="2"/>
      <charset val="1"/>
    </font>
    <font>
      <b/>
      <sz val="18"/>
      <color rgb="FFFFFFFF"/>
      <name val="Calibri"/>
      <family val="2"/>
      <charset val="1"/>
    </font>
    <font>
      <i/>
      <sz val="10"/>
      <color rgb="FF666666"/>
      <name val="Calibri"/>
      <family val="2"/>
      <charset val="1"/>
    </font>
    <font>
      <b/>
      <sz val="11"/>
      <color rgb="FF17365D"/>
      <name val="Calibri"/>
      <family val="2"/>
      <charset val="1"/>
    </font>
    <font>
      <b/>
      <sz val="16"/>
      <color theme="1"/>
      <name val="Calibri"/>
      <family val="2"/>
      <charset val="1"/>
    </font>
    <font>
      <sz val="11"/>
      <color rgb="FF7F6000"/>
      <name val="Calibri"/>
      <family val="2"/>
      <charset val="1"/>
    </font>
    <font>
      <b/>
      <sz val="11"/>
      <color rgb="FF375623"/>
      <name val="Calibri"/>
      <family val="2"/>
      <charset val="1"/>
    </font>
  </fonts>
  <fills count="12">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BD5A5"/>
        <bgColor rgb="FFF4B7B7"/>
      </patternFill>
    </fill>
    <fill>
      <patternFill patternType="solid">
        <fgColor theme="1"/>
        <bgColor rgb="FF333333"/>
      </patternFill>
    </fill>
    <fill>
      <patternFill patternType="solid">
        <fgColor rgb="FFFFF2CC"/>
        <bgColor indexed="64"/>
      </patternFill>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E2F0D9"/>
        <bgColor indexed="64"/>
      </patternFill>
    </fill>
    <fill>
      <patternFill patternType="solid">
        <fgColor rgb="FFFFFF00"/>
        <bgColor indexed="64"/>
      </patternFill>
    </fill>
  </fills>
  <borders count="4">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5" fillId="0" borderId="2" xfId="0" applyFont="1" applyBorder="1" applyAlignment="1">
      <alignment vertical="top" wrapText="1"/>
    </xf>
    <xf numFmtId="0" fontId="4" fillId="2" borderId="0" xfId="0" applyFont="1" applyFill="1" applyAlignment="1">
      <alignment horizontal="center" vertical="center" wrapText="1"/>
    </xf>
    <xf numFmtId="0" fontId="5" fillId="3" borderId="2" xfId="0" applyFont="1" applyFill="1" applyBorder="1" applyAlignment="1">
      <alignment vertical="top" wrapText="1"/>
    </xf>
    <xf numFmtId="0" fontId="5" fillId="3" borderId="2" xfId="0" applyFont="1" applyFill="1" applyBorder="1"/>
    <xf numFmtId="0" fontId="6" fillId="0" borderId="0" xfId="0" applyFont="1"/>
    <xf numFmtId="0" fontId="7" fillId="0" borderId="0" xfId="0" applyFont="1"/>
    <xf numFmtId="0" fontId="10" fillId="0" borderId="0" xfId="0" applyFont="1"/>
    <xf numFmtId="0" fontId="11" fillId="0" borderId="0" xfId="0" applyFont="1"/>
    <xf numFmtId="0" fontId="12" fillId="0" borderId="0" xfId="0" applyFont="1"/>
    <xf numFmtId="0" fontId="9" fillId="0" borderId="0" xfId="0" applyFont="1"/>
    <xf numFmtId="0" fontId="13" fillId="2" borderId="0" xfId="0" applyFont="1" applyFill="1"/>
    <xf numFmtId="164" fontId="6" fillId="0" borderId="0" xfId="0" applyNumberFormat="1" applyFont="1"/>
    <xf numFmtId="164" fontId="11" fillId="0" borderId="0" xfId="0" applyNumberFormat="1" applyFont="1"/>
    <xf numFmtId="0" fontId="14" fillId="0" borderId="0" xfId="0" applyFont="1"/>
    <xf numFmtId="0" fontId="15" fillId="3" borderId="1" xfId="0" applyFont="1" applyFill="1" applyBorder="1" applyAlignment="1">
      <alignment horizontal="center" vertical="center"/>
    </xf>
    <xf numFmtId="0" fontId="13" fillId="2" borderId="0" xfId="0" applyFont="1" applyFill="1" applyAlignment="1">
      <alignment horizontal="center" wrapText="1"/>
    </xf>
    <xf numFmtId="0" fontId="11" fillId="0" borderId="2" xfId="0" applyFont="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3" fillId="2" borderId="0" xfId="0" applyFont="1" applyFill="1" applyAlignment="1">
      <alignment horizontal="center"/>
    </xf>
    <xf numFmtId="0" fontId="6" fillId="0" borderId="2" xfId="0" applyFont="1" applyBorder="1" applyAlignment="1">
      <alignment vertical="top" wrapText="1"/>
    </xf>
    <xf numFmtId="0" fontId="11" fillId="0" borderId="2" xfId="0" applyFont="1" applyBorder="1"/>
    <xf numFmtId="0" fontId="16" fillId="5" borderId="0" xfId="0" applyFont="1" applyFill="1" applyAlignment="1">
      <alignment horizontal="center" vertical="center" wrapText="1"/>
    </xf>
    <xf numFmtId="0" fontId="6" fillId="3" borderId="2" xfId="0" applyFont="1" applyFill="1" applyBorder="1" applyAlignment="1">
      <alignment vertical="top" wrapText="1"/>
    </xf>
    <xf numFmtId="15" fontId="6" fillId="3" borderId="2" xfId="0" applyNumberFormat="1" applyFont="1" applyFill="1" applyBorder="1" applyAlignment="1">
      <alignment vertical="top" wrapText="1"/>
    </xf>
    <xf numFmtId="0" fontId="7" fillId="0" borderId="0" xfId="0" applyFont="1" applyAlignment="1">
      <alignment horizontal="left" vertical="top"/>
    </xf>
    <xf numFmtId="0" fontId="6" fillId="0" borderId="3" xfId="0" applyFont="1" applyBorder="1" applyAlignment="1">
      <alignment horizontal="left" vertical="top" wrapText="1"/>
    </xf>
    <xf numFmtId="0" fontId="6" fillId="4" borderId="3" xfId="0" applyFont="1" applyFill="1" applyBorder="1" applyAlignment="1">
      <alignment horizontal="left" vertical="top" wrapText="1"/>
    </xf>
    <xf numFmtId="0" fontId="6" fillId="3" borderId="3" xfId="0" applyFont="1" applyFill="1" applyBorder="1" applyAlignment="1">
      <alignment horizontal="left" vertical="top"/>
    </xf>
    <xf numFmtId="0" fontId="6" fillId="0" borderId="3" xfId="0" applyFont="1" applyBorder="1" applyAlignment="1">
      <alignment horizontal="center" vertical="top"/>
    </xf>
    <xf numFmtId="0" fontId="16" fillId="5" borderId="3" xfId="0" applyFont="1" applyFill="1" applyBorder="1" applyAlignment="1">
      <alignment horizontal="center" vertical="center" wrapText="1"/>
    </xf>
    <xf numFmtId="0" fontId="8" fillId="0" borderId="0" xfId="0" applyFont="1" applyAlignment="1">
      <alignment horizontal="center"/>
    </xf>
    <xf numFmtId="0" fontId="9" fillId="0" borderId="0" xfId="0" applyFont="1" applyAlignment="1">
      <alignment horizontal="center"/>
    </xf>
    <xf numFmtId="0" fontId="6" fillId="0" borderId="0" xfId="0" applyFont="1"/>
    <xf numFmtId="0" fontId="6" fillId="0" borderId="2" xfId="0" applyFont="1" applyBorder="1" applyAlignment="1">
      <alignment vertical="top" wrapText="1"/>
    </xf>
    <xf numFmtId="0" fontId="11" fillId="0" borderId="2" xfId="0" applyFont="1" applyBorder="1" applyAlignment="1">
      <alignment vertical="top" wrapText="1"/>
    </xf>
    <xf numFmtId="0" fontId="8" fillId="0" borderId="0" xfId="0" applyFont="1" applyAlignment="1">
      <alignment horizontal="center" vertical="top"/>
    </xf>
    <xf numFmtId="0" fontId="9" fillId="0" borderId="0" xfId="0" applyFont="1" applyAlignment="1">
      <alignment horizontal="center" vertical="top"/>
    </xf>
    <xf numFmtId="0" fontId="18" fillId="7" borderId="0" xfId="0" applyFont="1" applyFill="1" applyAlignment="1">
      <alignment vertical="center"/>
    </xf>
    <xf numFmtId="0" fontId="19" fillId="0" borderId="0" xfId="0" applyFont="1" applyAlignment="1">
      <alignment wrapText="1"/>
    </xf>
    <xf numFmtId="0" fontId="17" fillId="8" borderId="0" xfId="0" applyFont="1" applyFill="1"/>
    <xf numFmtId="0" fontId="20" fillId="9" borderId="0" xfId="0" applyFont="1" applyFill="1" applyAlignment="1">
      <alignment horizontal="center"/>
    </xf>
    <xf numFmtId="0" fontId="21" fillId="0" borderId="0" xfId="0" applyFont="1" applyAlignment="1">
      <alignment horizontal="center"/>
    </xf>
    <xf numFmtId="0" fontId="0" fillId="0" borderId="0" xfId="0" applyAlignment="1">
      <alignment vertical="top"/>
    </xf>
    <xf numFmtId="0" fontId="0" fillId="0" borderId="0" xfId="0" applyAlignment="1">
      <alignment vertical="top" wrapText="1"/>
    </xf>
    <xf numFmtId="0" fontId="0" fillId="0" borderId="0" xfId="0" applyFont="1" applyAlignment="1">
      <alignment horizontal="center"/>
    </xf>
    <xf numFmtId="0" fontId="0" fillId="0" borderId="0" xfId="0" applyAlignment="1">
      <alignment wrapText="1"/>
    </xf>
    <xf numFmtId="0" fontId="22" fillId="6" borderId="0" xfId="0" applyFont="1" applyFill="1" applyAlignment="1">
      <alignment vertical="center" wrapText="1"/>
    </xf>
    <xf numFmtId="0" fontId="22" fillId="6" borderId="0" xfId="0" applyFont="1" applyFill="1" applyAlignment="1">
      <alignment vertical="center" wrapText="1"/>
    </xf>
    <xf numFmtId="0" fontId="0" fillId="0" borderId="0" xfId="0" applyAlignment="1">
      <alignment horizontal="center" vertical="top" wrapText="1"/>
    </xf>
    <xf numFmtId="165" fontId="0" fillId="0" borderId="0" xfId="0" applyNumberFormat="1" applyAlignment="1">
      <alignment vertical="top" wrapText="1"/>
    </xf>
    <xf numFmtId="0" fontId="23" fillId="10" borderId="0" xfId="0" applyFont="1" applyFill="1" applyAlignment="1">
      <alignment wrapText="1"/>
    </xf>
    <xf numFmtId="0" fontId="0" fillId="11" borderId="0" xfId="0" applyFill="1" applyAlignment="1">
      <alignment vertical="top" wrapText="1"/>
    </xf>
    <xf numFmtId="0" fontId="0" fillId="11" borderId="0" xfId="0" applyFill="1" applyAlignment="1">
      <alignment vertical="top"/>
    </xf>
    <xf numFmtId="165" fontId="0" fillId="11" borderId="0" xfId="0" applyNumberFormat="1" applyFill="1" applyAlignment="1">
      <alignment vertical="top" wrapText="1"/>
    </xf>
    <xf numFmtId="0" fontId="0" fillId="11" borderId="0" xfId="0" applyFill="1" applyAlignment="1">
      <alignment horizontal="center" vertical="top" wrapText="1"/>
    </xf>
  </cellXfs>
  <cellStyles count="1">
    <cellStyle name="Normal" xfId="0" builtinId="0"/>
  </cellStyles>
  <dxfs count="55">
    <dxf>
      <alignment vertical="top" wrapText="1"/>
    </dxf>
    <dxf>
      <font>
        <b/>
        <i val="0"/>
        <color rgb="FF9C0006"/>
      </font>
      <fill>
        <patternFill patternType="solid">
          <fgColor indexed="64"/>
          <bgColor rgb="FFFFC7CE"/>
        </patternFill>
      </fill>
    </dxf>
    <dxf>
      <font>
        <b/>
        <i val="0"/>
        <color rgb="FF006100"/>
      </font>
      <fill>
        <patternFill patternType="solid">
          <fgColor indexed="64"/>
          <bgColor rgb="FFC6E0B4"/>
        </patternFill>
      </fill>
    </dxf>
    <dxf>
      <font>
        <color rgb="FF7F6000"/>
      </font>
      <fill>
        <patternFill patternType="solid">
          <fgColor indexed="64"/>
          <bgColor rgb="FFFFF2CC"/>
        </patternFill>
      </fill>
    </dxf>
    <dxf>
      <font>
        <b/>
        <i val="0"/>
        <color rgb="FF7F0000"/>
      </font>
      <fill>
        <patternFill patternType="solid">
          <fgColor indexed="64"/>
          <bgColor rgb="FFF4B183"/>
        </patternFill>
      </fill>
    </dxf>
    <dxf>
      <font>
        <b/>
        <i val="0"/>
        <color rgb="FFFFFFFF"/>
      </font>
      <fill>
        <patternFill patternType="solid">
          <fgColor indexed="64"/>
          <bgColor rgb="FFC00000"/>
        </patternFill>
      </fill>
    </dxf>
    <dxf>
      <font>
        <color rgb="FFC00000"/>
      </font>
      <fill>
        <patternFill patternType="solid">
          <fgColor indexed="64"/>
          <bgColor rgb="FFFCE4D6"/>
        </patternFill>
      </fill>
    </dxf>
    <dxf>
      <fill>
        <patternFill>
          <bgColor rgb="FFF4B7B7"/>
        </patternFill>
      </fill>
    </dxf>
    <dxf>
      <fill>
        <patternFill>
          <bgColor rgb="FFC6E0B4"/>
        </patternFill>
      </fill>
    </dxf>
    <dxf>
      <fill>
        <patternFill>
          <bgColor rgb="FFFBD5A5"/>
        </patternFill>
      </fill>
    </dxf>
    <dxf>
      <fill>
        <patternFill>
          <bgColor rgb="FFF4B7B7"/>
        </patternFill>
      </fill>
    </dxf>
    <dxf>
      <fill>
        <patternFill>
          <bgColor rgb="FFC6E0B4"/>
        </patternFill>
      </fill>
    </dxf>
    <dxf>
      <fill>
        <patternFill>
          <bgColor rgb="FFFBD5A5"/>
        </patternFill>
      </fill>
    </dxf>
    <dxf>
      <fill>
        <patternFill>
          <bgColor rgb="FFC6E0B4"/>
        </patternFill>
      </fill>
    </dxf>
    <dxf>
      <font>
        <b/>
        <sz val="10"/>
        <name val="Arial"/>
        <charset val="1"/>
      </font>
      <fill>
        <patternFill>
          <bgColor rgb="FFF4B7B7"/>
        </patternFill>
      </fill>
    </dxf>
    <dxf>
      <fill>
        <patternFill>
          <bgColor rgb="FFC6E0B4"/>
        </patternFill>
      </fill>
    </dxf>
    <dxf>
      <fill>
        <patternFill>
          <bgColor rgb="FFF4B7B7"/>
        </patternFill>
      </fill>
    </dxf>
    <dxf>
      <fill>
        <patternFill>
          <bgColor rgb="FFF4B7B7"/>
        </patternFill>
      </fill>
    </dxf>
    <dxf>
      <fill>
        <patternFill>
          <bgColor rgb="FFC6E0B4"/>
        </patternFill>
      </fill>
    </dxf>
    <dxf>
      <fill>
        <patternFill>
          <bgColor rgb="FFF4B7B7"/>
        </patternFill>
      </fill>
    </dxf>
    <dxf>
      <fill>
        <patternFill>
          <bgColor rgb="FFF4B7B7"/>
        </patternFill>
      </fill>
    </dxf>
    <dxf>
      <fill>
        <patternFill>
          <bgColor rgb="FFD9EAD3"/>
        </patternFill>
      </fill>
    </dxf>
    <dxf>
      <fill>
        <patternFill>
          <bgColor rgb="FFC6E0B4"/>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D9EAD3"/>
        </patternFill>
      </fill>
    </dxf>
    <dxf>
      <fill>
        <patternFill>
          <bgColor rgb="FFC6E0B4"/>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fill>
        <patternFill>
          <bgColor rgb="FFF4B7B7"/>
        </patternFill>
      </fill>
    </dxf>
    <dxf>
      <fill>
        <patternFill>
          <bgColor rgb="FFFFF2CC"/>
        </patternFill>
      </fill>
    </dxf>
    <dxf>
      <fill>
        <patternFill>
          <bgColor rgb="FFFBD5A5"/>
        </patternFill>
      </fill>
    </dxf>
    <dxf>
      <font>
        <b/>
        <sz val="10"/>
        <name val="Arial"/>
        <charset val="1"/>
      </font>
      <fill>
        <patternFill>
          <bgColor rgb="FFF4B7B7"/>
        </patternFill>
      </fill>
    </dxf>
    <dxf>
      <alignment vertical="top" wrapText="1"/>
    </dxf>
    <dxf>
      <alignment vertical="top" wrapText="1"/>
    </dxf>
    <dxf>
      <alignment vertical="top" wrapText="1"/>
    </dxf>
    <dxf>
      <alignment vertical="top" wrapText="1"/>
    </dxf>
    <dxf>
      <numFmt numFmtId="165" formatCode="yyyy\-mm\-dd"/>
      <alignment vertical="top" wrapText="1"/>
    </dxf>
    <dxf>
      <alignment vertical="top" wrapText="1"/>
    </dxf>
    <dxf>
      <alignment vertical="top" wrapText="1"/>
    </dxf>
    <dxf>
      <alignment vertical="top" wrapText="1"/>
    </dxf>
    <dxf>
      <alignment horizontal="center" vertical="top" wrapText="1"/>
    </dxf>
    <dxf>
      <alignment vertical="top" wrapText="1"/>
    </dxf>
    <dxf>
      <alignment vertical="top"/>
    </dxf>
    <dxf>
      <alignment vertical="top" wrapText="1"/>
    </dxf>
    <dxf>
      <alignment vertical="top"/>
    </dxf>
    <dxf>
      <font>
        <color rgb="FFC00000"/>
      </font>
      <fill>
        <patternFill patternType="solid">
          <fgColor indexed="64"/>
          <bgColor rgb="FFFCE4D6"/>
        </patternFill>
      </fill>
    </dxf>
    <dxf>
      <font>
        <b/>
        <i val="0"/>
        <color rgb="FF7F0000"/>
      </font>
      <fill>
        <patternFill patternType="solid">
          <fgColor indexed="64"/>
          <bgColor rgb="FFF4B183"/>
        </patternFill>
      </fill>
    </dxf>
    <dxf>
      <font>
        <b/>
        <i val="0"/>
        <color rgb="FFFFFFFF"/>
      </font>
      <fill>
        <patternFill patternType="solid">
          <fgColor indexed="64"/>
          <bgColor rgb="FFC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C6E0B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4B7B7"/>
      <rgbColor rgb="FFCC99FF"/>
      <rgbColor rgb="FFFBD5A5"/>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Findings by QC area</a:t>
            </a:r>
          </a:p>
        </c:rich>
      </c:tx>
      <c:overlay val="0"/>
      <c:spPr>
        <a:noFill/>
        <a:ln w="0">
          <a:noFill/>
        </a:ln>
      </c:spPr>
    </c:title>
    <c:autoTitleDeleted val="0"/>
    <c:plotArea>
      <c:layout/>
      <c:barChart>
        <c:barDir val="bar"/>
        <c:grouping val="clustered"/>
        <c:varyColors val="0"/>
        <c:ser>
          <c:idx val="0"/>
          <c:order val="0"/>
          <c:tx>
            <c:strRef>
              <c:f>'00_Summary'!$B$20</c:f>
              <c:strCache>
                <c:ptCount val="1"/>
                <c:pt idx="0">
                  <c:v>Total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'00_Summary'!$A$21:$A$26</c:f>
              <c:strCache>
                <c:ptCount val="6"/>
                <c:pt idx="0">
                  <c:v>a. Formula consistency</c:v>
                </c:pt>
                <c:pt idx="1">
                  <c:v>b. Chart accuracy</c:v>
                </c:pt>
                <c:pt idx="2">
                  <c:v>c. Button / menu / function</c:v>
                </c:pt>
                <c:pt idx="3">
                  <c:v>d. Prompt &amp; response</c:v>
                </c:pt>
                <c:pt idx="4">
                  <c:v>f. Dataset</c:v>
                </c:pt>
                <c:pt idx="5">
                  <c:v>g. Filters</c:v>
                </c:pt>
              </c:strCache>
            </c:strRef>
          </c:cat>
          <c:val>
            <c:numRef>
              <c:f>'00_Summary'!$B$21:$B$26</c:f>
              <c:numCache>
                <c:formatCode>General</c:formatCode>
                <c:ptCount val="6"/>
                <c:pt idx="0">
                  <c:v>27</c:v>
                </c:pt>
                <c:pt idx="1">
                  <c:v>8</c:v>
                </c:pt>
                <c:pt idx="2">
                  <c:v>16</c:v>
                </c:pt>
                <c:pt idx="3">
                  <c:v>9</c:v>
                </c:pt>
                <c:pt idx="4">
                  <c:v>1</c:v>
                </c:pt>
                <c:pt idx="5">
                  <c:v>1</c:v>
                </c:pt>
              </c:numCache>
            </c:numRef>
          </c:val>
          <c:extLst>
            <c:ext xmlns:c16="http://schemas.microsoft.com/office/drawing/2014/chart" uri="{C3380CC4-5D6E-409C-BE32-E72D297353CC}">
              <c16:uniqueId val="{00000000-BEFF-4FC0-AB83-A62A0E1D3DA3}"/>
            </c:ext>
          </c:extLst>
        </c:ser>
        <c:dLbls>
          <c:showLegendKey val="0"/>
          <c:showVal val="0"/>
          <c:showCatName val="0"/>
          <c:showSerName val="0"/>
          <c:showPercent val="0"/>
          <c:showBubbleSize val="0"/>
        </c:dLbls>
        <c:gapWidth val="150"/>
        <c:axId val="76517691"/>
        <c:axId val="80345453"/>
      </c:barChart>
      <c:catAx>
        <c:axId val="76517691"/>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345453"/>
        <c:crosses val="autoZero"/>
        <c:auto val="1"/>
        <c:lblAlgn val="ctr"/>
        <c:lblOffset val="100"/>
        <c:noMultiLvlLbl val="0"/>
      </c:catAx>
      <c:valAx>
        <c:axId val="80345453"/>
        <c:scaling>
          <c:orientation val="minMax"/>
        </c:scaling>
        <c:delete val="0"/>
        <c:axPos val="b"/>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5176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16</xdr:row>
      <xdr:rowOff>186120</xdr:rowOff>
    </xdr:from>
    <xdr:to>
      <xdr:col>10</xdr:col>
      <xdr:colOff>307440</xdr:colOff>
      <xdr:row>31</xdr:row>
      <xdr:rowOff>25920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B628A6-A980-4D2B-ADD5-9F4E75FC7457}" name="TodoPenyelesaianQC" displayName="TodoPenyelesaianQC" ref="A9:M67" totalsRowShown="0" dataDxfId="49">
  <autoFilter ref="A9:M67" xr:uid="{74B628A6-A980-4D2B-ADD5-9F4E75FC7457}"/>
  <tableColumns count="13">
    <tableColumn id="1" xr3:uid="{77900DF1-29C3-4856-B71F-C6B28F166CB8}" name="Urutan pengerjaan" dataDxfId="48">
      <calculatedColumnFormula>IF(INDEX('01B_Findings_ID'!$G$5:$G$66,MATCH(B10,'01B_Findings_ID'!$A$5:$A$66,0))="Ya",IF(INDEX('01B_Findings_ID'!$F$5:$F$66,MATCH(B10,'01B_Findings_ID'!$A$5:$A$66,0))="Kritis","Sangat mendesak",IF(INDEX('01B_Findings_ID'!$F$5:$F$66,MATCH(B10,'01B_Findings_ID'!$A$5:$A$66,0))="Tinggi","Mendesak","Penting")),IF(INDEX('01B_Findings_ID'!$F$5:$F$66,MATCH(B10,'01B_Findings_ID'!$A$5:$A$66,0))="Kritis","Mendesak",IF(INDEX('01B_Findings_ID'!$F$5:$F$66,MATCH(B10,'01B_Findings_ID'!$A$5:$A$66,0))="Tinggi","Penting","Dapat dijadwalkan")))</calculatedColumnFormula>
    </tableColumn>
    <tableColumn id="2" xr3:uid="{F41B5A3F-AB2B-48AE-AEA8-172FD15162E7}" name="No QC" dataDxfId="51"/>
    <tableColumn id="3" xr3:uid="{6702F685-F7F8-4008-B9A7-2A8C20E2D413}" name="Agent" dataDxfId="50"/>
    <tableColumn id="4" xr3:uid="{08577271-6059-4AD8-99E5-D512C3A23A49}" name="Masalah" dataDxfId="46"/>
    <tableColumn id="5" xr3:uid="{A7F88646-0B94-48A2-A35A-85536E7D37B2}" name="Solusi dari hasil QC" dataDxfId="45"/>
    <tableColumn id="6" xr3:uid="{5BB4C986-1CB7-485D-A6FF-B30B49AD5632}" name="PIC" dataDxfId="44"/>
    <tableColumn id="7" xr3:uid="{D1A6A9D0-38CB-4494-88B4-0590415FDCCB}" name="Target" dataDxfId="43"/>
    <tableColumn id="8" xr3:uid="{66600425-42D5-4F68-9648-6580CC216853}" name="Status pekerjaan" dataDxfId="42">
      <calculatedColumnFormula>IF(INDEX('01B_Findings_ID'!$N$5:$N$66,MATCH(B10,'01B_Findings_ID'!$A$5:$A$66,0))="Terbuka","Belum selesai",INDEX('01B_Findings_ID'!$N$5:$N$66,MATCH(B10,'01B_Findings_ID'!$A$5:$A$66,0)))</calculatedColumnFormula>
    </tableColumn>
    <tableColumn id="9" xr3:uid="{B33CFE39-E89F-4135-87AD-057289ADE66F}" name="Penjelasan mudah" dataDxfId="41"/>
    <tableColumn id="10" xr3:uid="{C0B7C993-6F63-438F-8147-397BAF25E02B}" name="Solusi praktis" dataDxfId="40"/>
    <tableColumn id="11" xr3:uid="{C6052549-1E03-4B05-9741-61F5404AC927}" name="Checklist to-do" dataDxfId="47"/>
    <tableColumn id="12" xr3:uid="{F5EEF021-5F95-4488-AF16-CC1DED9515FB}" name="Kondisi deadline" dataDxfId="39">
      <calculatedColumnFormula>IF(H10&lt;&gt;"Belum selesai","Sudah ditutup",IF(IFERROR(DATEVALUE(G10),G10)&lt;DATE(2026,7,30),"Lewat target",IF(IFERROR(DATEVALUE(G10),G10)=DATE(2026,7,30),"Jatuh tempo hari ini",IF(IFERROR(DATEVALUE(G10),G10)&lt;=DATE(2026,8,6),"Segera: maksimal 7 hari","Masih ada waktu"))))</calculatedColumnFormula>
    </tableColumn>
    <tableColumn id="17" xr3:uid="{28BEB4AA-0679-45D9-93BB-9C47754EB1B6}" name="Objective int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showGridLines="0" zoomScaleNormal="100" workbookViewId="0">
      <pane ySplit="8" topLeftCell="A46" activePane="bottomLeft" state="frozen"/>
      <selection pane="bottomLeft" activeCell="A2" sqref="A2:K2"/>
    </sheetView>
  </sheetViews>
  <sheetFormatPr defaultColWidth="8.7265625" defaultRowHeight="14.5" x14ac:dyDescent="0.35"/>
  <cols>
    <col min="1" max="1" width="34" style="10" customWidth="1"/>
    <col min="2" max="5" width="12" style="10" customWidth="1"/>
    <col min="6" max="6" width="4" style="10" customWidth="1"/>
    <col min="7" max="7" width="26" style="10" customWidth="1"/>
    <col min="8" max="10" width="12" style="10" customWidth="1"/>
    <col min="11" max="16384" width="8.7265625" style="10"/>
  </cols>
  <sheetData>
    <row r="1" spans="1:11" ht="18" customHeight="1" x14ac:dyDescent="0.45">
      <c r="A1" s="36" t="s">
        <v>0</v>
      </c>
      <c r="B1" s="36"/>
      <c r="C1" s="36"/>
      <c r="D1" s="36"/>
      <c r="E1" s="36"/>
      <c r="F1" s="36"/>
      <c r="G1" s="36"/>
      <c r="H1" s="36"/>
      <c r="I1" s="36"/>
      <c r="J1" s="36"/>
      <c r="K1" s="36"/>
    </row>
    <row r="2" spans="1:11" ht="15" customHeight="1" x14ac:dyDescent="0.35">
      <c r="A2" s="37" t="s">
        <v>1</v>
      </c>
      <c r="B2" s="37"/>
      <c r="C2" s="37"/>
      <c r="D2" s="37"/>
      <c r="E2" s="37"/>
      <c r="F2" s="37"/>
      <c r="G2" s="37"/>
      <c r="H2" s="37"/>
      <c r="I2" s="37"/>
      <c r="J2" s="37"/>
      <c r="K2" s="37"/>
    </row>
    <row r="3" spans="1:11" ht="15" customHeight="1" x14ac:dyDescent="0.35">
      <c r="A3" s="37" t="s">
        <v>2</v>
      </c>
      <c r="B3" s="37"/>
      <c r="C3" s="37"/>
      <c r="D3" s="37"/>
      <c r="E3" s="37"/>
      <c r="F3" s="37"/>
      <c r="G3" s="37"/>
      <c r="H3" s="37"/>
      <c r="I3" s="37"/>
      <c r="J3" s="37"/>
      <c r="K3" s="37"/>
    </row>
    <row r="5" spans="1:11" ht="15" customHeight="1" x14ac:dyDescent="0.35">
      <c r="A5" s="11" t="s">
        <v>3</v>
      </c>
    </row>
    <row r="6" spans="1:11" ht="15" customHeight="1" x14ac:dyDescent="0.35">
      <c r="A6" s="12" t="s">
        <v>4</v>
      </c>
      <c r="D6" s="12" t="s">
        <v>5</v>
      </c>
      <c r="G6" s="12" t="s">
        <v>6</v>
      </c>
      <c r="J6" s="12" t="s">
        <v>7</v>
      </c>
    </row>
    <row r="7" spans="1:11" ht="26.25" customHeight="1" x14ac:dyDescent="0.65">
      <c r="A7" s="13">
        <f>COUNTA('01_Findings'!$F$5:$F$66)</f>
        <v>62</v>
      </c>
      <c r="D7" s="13">
        <f>COUNTIF('01_Findings'!$G$5:$G$66,"Yes")</f>
        <v>39</v>
      </c>
      <c r="G7" s="13">
        <f>COUNTIF('01_Findings'!$F$5:$F$66,"Critical")</f>
        <v>8</v>
      </c>
      <c r="J7" s="13">
        <f>COUNTIF('01_Findings'!$N$5:$N$66,"Open")</f>
        <v>62</v>
      </c>
    </row>
    <row r="8" spans="1:11" ht="15" customHeight="1" x14ac:dyDescent="0.35">
      <c r="A8" s="14" t="s">
        <v>8</v>
      </c>
      <c r="D8" s="14" t="s">
        <v>8</v>
      </c>
      <c r="G8" s="14" t="s">
        <v>8</v>
      </c>
      <c r="J8" s="14" t="s">
        <v>8</v>
      </c>
    </row>
    <row r="10" spans="1:11" ht="15" customHeight="1" x14ac:dyDescent="0.35">
      <c r="A10" s="11" t="s">
        <v>9</v>
      </c>
      <c r="G10" s="11" t="s">
        <v>10</v>
      </c>
    </row>
    <row r="11" spans="1:11" ht="15" customHeight="1" x14ac:dyDescent="0.35">
      <c r="A11" s="15" t="s">
        <v>11</v>
      </c>
      <c r="B11" s="15" t="s">
        <v>12</v>
      </c>
      <c r="C11" s="15" t="s">
        <v>13</v>
      </c>
      <c r="D11" s="15" t="s">
        <v>14</v>
      </c>
      <c r="E11" s="15" t="s">
        <v>15</v>
      </c>
      <c r="G11" s="15" t="s">
        <v>16</v>
      </c>
      <c r="H11" s="15" t="s">
        <v>12</v>
      </c>
      <c r="I11" s="15" t="s">
        <v>13</v>
      </c>
      <c r="J11" s="15" t="s">
        <v>14</v>
      </c>
    </row>
    <row r="12" spans="1:11" ht="15" customHeight="1" x14ac:dyDescent="0.35">
      <c r="A12" s="12" t="s">
        <v>6</v>
      </c>
      <c r="B12" s="9">
        <f>COUNTIF('01_Findings'!$F$5:$F$66,A12)</f>
        <v>8</v>
      </c>
      <c r="C12" s="9">
        <f>COUNTIFS('01_Findings'!$F$5:$F$66,A12,'01_Findings'!$G$5:$G$66,"Yes")</f>
        <v>8</v>
      </c>
      <c r="D12" s="9">
        <f>COUNTIFS('01_Findings'!$F$5:$F$66,A12,'01_Findings'!$N$5:$N$66,"Open")</f>
        <v>8</v>
      </c>
      <c r="E12" s="9">
        <f>COUNTIFS('01_Findings'!$F$5:$F$66,A12,'01_Findings'!$N$5:$N$66,"Closed")</f>
        <v>0</v>
      </c>
      <c r="G12" s="9" t="s">
        <v>17</v>
      </c>
      <c r="H12" s="9">
        <f>COUNTIF('01_Findings'!$C$5:$C$66,G12)</f>
        <v>6</v>
      </c>
      <c r="I12" s="9">
        <f>COUNTIFS('01_Findings'!$C$5:$C$66,G12,'01_Findings'!$G$5:$G$66,"Yes")</f>
        <v>3</v>
      </c>
      <c r="J12" s="9">
        <f>COUNTIFS('01_Findings'!$C$5:$C$66,G12,'01_Findings'!$N$5:$N$66,"Open")</f>
        <v>6</v>
      </c>
    </row>
    <row r="13" spans="1:11" ht="15" customHeight="1" x14ac:dyDescent="0.35">
      <c r="A13" s="12" t="s">
        <v>18</v>
      </c>
      <c r="B13" s="9">
        <f>COUNTIF('01_Findings'!$F$5:$F$66,A13)</f>
        <v>31</v>
      </c>
      <c r="C13" s="9">
        <f>COUNTIFS('01_Findings'!$F$5:$F$66,A13,'01_Findings'!$G$5:$G$66,"Yes")</f>
        <v>26</v>
      </c>
      <c r="D13" s="9">
        <f>COUNTIFS('01_Findings'!$F$5:$F$66,A13,'01_Findings'!$N$5:$N$66,"Open")</f>
        <v>31</v>
      </c>
      <c r="E13" s="9">
        <f>COUNTIFS('01_Findings'!$F$5:$F$66,A13,'01_Findings'!$N$5:$N$66,"Closed")</f>
        <v>0</v>
      </c>
      <c r="G13" s="9" t="s">
        <v>19</v>
      </c>
      <c r="H13" s="9">
        <f>COUNTIF('01_Findings'!$C$5:$C$66,G13)</f>
        <v>9</v>
      </c>
      <c r="I13" s="9">
        <f>COUNTIFS('01_Findings'!$C$5:$C$66,G13,'01_Findings'!$G$5:$G$66,"Yes")</f>
        <v>3</v>
      </c>
      <c r="J13" s="9">
        <f>COUNTIFS('01_Findings'!$C$5:$C$66,G13,'01_Findings'!$N$5:$N$66,"Open")</f>
        <v>9</v>
      </c>
    </row>
    <row r="14" spans="1:11" ht="15" customHeight="1" x14ac:dyDescent="0.35">
      <c r="A14" s="12" t="s">
        <v>20</v>
      </c>
      <c r="B14" s="9">
        <f>COUNTIF('01_Findings'!$F$5:$F$66,A14)</f>
        <v>22</v>
      </c>
      <c r="C14" s="9">
        <f>COUNTIFS('01_Findings'!$F$5:$F$66,A14,'01_Findings'!$G$5:$G$66,"Yes")</f>
        <v>5</v>
      </c>
      <c r="D14" s="9">
        <f>COUNTIFS('01_Findings'!$F$5:$F$66,A14,'01_Findings'!$N$5:$N$66,"Open")</f>
        <v>22</v>
      </c>
      <c r="E14" s="9">
        <f>COUNTIFS('01_Findings'!$F$5:$F$66,A14,'01_Findings'!$N$5:$N$66,"Closed")</f>
        <v>0</v>
      </c>
      <c r="G14" s="9" t="s">
        <v>21</v>
      </c>
      <c r="H14" s="9">
        <f>COUNTIF('01_Findings'!$C$5:$C$66,G14)</f>
        <v>8</v>
      </c>
      <c r="I14" s="9">
        <f>COUNTIFS('01_Findings'!$C$5:$C$66,G14,'01_Findings'!$G$5:$G$66,"Yes")</f>
        <v>4</v>
      </c>
      <c r="J14" s="9">
        <f>COUNTIFS('01_Findings'!$C$5:$C$66,G14,'01_Findings'!$N$5:$N$66,"Open")</f>
        <v>8</v>
      </c>
    </row>
    <row r="15" spans="1:11" ht="15" customHeight="1" x14ac:dyDescent="0.35">
      <c r="A15" s="12" t="s">
        <v>22</v>
      </c>
      <c r="B15" s="9">
        <f>COUNTIF('01_Findings'!$F$5:$F$66,A15)</f>
        <v>1</v>
      </c>
      <c r="C15" s="9">
        <f>COUNTIFS('01_Findings'!$F$5:$F$66,A15,'01_Findings'!$G$5:$G$66,"Yes")</f>
        <v>0</v>
      </c>
      <c r="D15" s="9">
        <f>COUNTIFS('01_Findings'!$F$5:$F$66,A15,'01_Findings'!$N$5:$N$66,"Open")</f>
        <v>1</v>
      </c>
      <c r="E15" s="9">
        <f>COUNTIFS('01_Findings'!$F$5:$F$66,A15,'01_Findings'!$N$5:$N$66,"Closed")</f>
        <v>0</v>
      </c>
      <c r="G15" s="9" t="s">
        <v>23</v>
      </c>
      <c r="H15" s="9">
        <f>COUNTIF('01_Findings'!$C$5:$C$66,G15)</f>
        <v>10</v>
      </c>
      <c r="I15" s="9">
        <f>COUNTIFS('01_Findings'!$C$5:$C$66,G15,'01_Findings'!$G$5:$G$66,"Yes")</f>
        <v>6</v>
      </c>
      <c r="J15" s="9">
        <f>COUNTIFS('01_Findings'!$C$5:$C$66,G15,'01_Findings'!$N$5:$N$66,"Open")</f>
        <v>10</v>
      </c>
    </row>
    <row r="16" spans="1:11" ht="15" customHeight="1" x14ac:dyDescent="0.35">
      <c r="A16" s="12" t="s">
        <v>12</v>
      </c>
      <c r="B16" s="12">
        <f>SUM(B12:B15)</f>
        <v>62</v>
      </c>
      <c r="C16" s="12">
        <f>SUM(C12:C15)</f>
        <v>39</v>
      </c>
      <c r="D16" s="12">
        <f>SUM(D12:D15)</f>
        <v>62</v>
      </c>
      <c r="E16" s="12">
        <f>SUM(E12:E15)</f>
        <v>0</v>
      </c>
      <c r="G16" s="9" t="s">
        <v>24</v>
      </c>
      <c r="H16" s="9">
        <f>COUNTIF('01_Findings'!$C$5:$C$66,G16)</f>
        <v>27</v>
      </c>
      <c r="I16" s="9">
        <f>COUNTIFS('01_Findings'!$C$5:$C$66,G16,'01_Findings'!$G$5:$G$66,"Yes")</f>
        <v>21</v>
      </c>
      <c r="J16" s="9">
        <f>COUNTIFS('01_Findings'!$C$5:$C$66,G16,'01_Findings'!$N$5:$N$66,"Open")</f>
        <v>27</v>
      </c>
    </row>
    <row r="17" spans="1:10" ht="15" customHeight="1" x14ac:dyDescent="0.35">
      <c r="G17" s="9" t="s">
        <v>25</v>
      </c>
      <c r="H17" s="9">
        <f>COUNTIF('01_Findings'!$C$5:$C$66,G17)</f>
        <v>1</v>
      </c>
      <c r="I17" s="9">
        <f>COUNTIFS('01_Findings'!$C$5:$C$66,G17,'01_Findings'!$G$5:$G$66,"Yes")</f>
        <v>1</v>
      </c>
      <c r="J17" s="9">
        <f>COUNTIFS('01_Findings'!$C$5:$C$66,G17,'01_Findings'!$N$5:$N$66,"Open")</f>
        <v>1</v>
      </c>
    </row>
    <row r="18" spans="1:10" ht="15" customHeight="1" x14ac:dyDescent="0.35">
      <c r="G18" s="9" t="s">
        <v>26</v>
      </c>
      <c r="H18" s="9">
        <f>COUNTIF('01_Findings'!$C$5:$C$66,G18)</f>
        <v>1</v>
      </c>
      <c r="I18" s="9">
        <f>COUNTIFS('01_Findings'!$C$5:$C$66,G18,'01_Findings'!$G$5:$G$66,"Yes")</f>
        <v>1</v>
      </c>
      <c r="J18" s="9">
        <f>COUNTIFS('01_Findings'!$C$5:$C$66,G18,'01_Findings'!$N$5:$N$66,"Open")</f>
        <v>1</v>
      </c>
    </row>
    <row r="19" spans="1:10" ht="15" customHeight="1" x14ac:dyDescent="0.35">
      <c r="A19" s="11" t="s">
        <v>27</v>
      </c>
    </row>
    <row r="20" spans="1:10" ht="15" customHeight="1" x14ac:dyDescent="0.35">
      <c r="A20" s="15" t="s">
        <v>28</v>
      </c>
      <c r="B20" s="15" t="s">
        <v>12</v>
      </c>
      <c r="C20" s="15" t="s">
        <v>13</v>
      </c>
      <c r="D20" s="15" t="s">
        <v>14</v>
      </c>
    </row>
    <row r="21" spans="1:10" ht="15" customHeight="1" x14ac:dyDescent="0.35">
      <c r="A21" s="9" t="s">
        <v>29</v>
      </c>
      <c r="B21" s="9">
        <f>COUNTIF('01_Findings'!$D$5:$D$66,A21)</f>
        <v>27</v>
      </c>
      <c r="C21" s="9">
        <f>COUNTIFS('01_Findings'!$D$5:$D$66,A21,'01_Findings'!$G$5:$G$66,"Yes")</f>
        <v>17</v>
      </c>
      <c r="D21" s="9">
        <f>COUNTIFS('01_Findings'!$D$5:$D$66,A21,'01_Findings'!$N$5:$N$66,"Open")</f>
        <v>27</v>
      </c>
    </row>
    <row r="22" spans="1:10" ht="15" customHeight="1" x14ac:dyDescent="0.35">
      <c r="A22" s="9" t="s">
        <v>30</v>
      </c>
      <c r="B22" s="9">
        <f>COUNTIF('01_Findings'!$D$5:$D$66,A22)</f>
        <v>8</v>
      </c>
      <c r="C22" s="9">
        <f>COUNTIFS('01_Findings'!$D$5:$D$66,A22,'01_Findings'!$G$5:$G$66,"Yes")</f>
        <v>3</v>
      </c>
      <c r="D22" s="9">
        <f>COUNTIFS('01_Findings'!$D$5:$D$66,A22,'01_Findings'!$N$5:$N$66,"Open")</f>
        <v>8</v>
      </c>
    </row>
    <row r="23" spans="1:10" ht="15" customHeight="1" x14ac:dyDescent="0.35">
      <c r="A23" s="9" t="s">
        <v>31</v>
      </c>
      <c r="B23" s="9">
        <f>COUNTIF('01_Findings'!$D$5:$D$66,A23)</f>
        <v>16</v>
      </c>
      <c r="C23" s="9">
        <f>COUNTIFS('01_Findings'!$D$5:$D$66,A23,'01_Findings'!$G$5:$G$66,"Yes")</f>
        <v>12</v>
      </c>
      <c r="D23" s="9">
        <f>COUNTIFS('01_Findings'!$D$5:$D$66,A23,'01_Findings'!$N$5:$N$66,"Open")</f>
        <v>16</v>
      </c>
    </row>
    <row r="24" spans="1:10" ht="15" customHeight="1" x14ac:dyDescent="0.35">
      <c r="A24" s="9" t="s">
        <v>32</v>
      </c>
      <c r="B24" s="9">
        <f>COUNTIF('01_Findings'!$D$5:$D$66,A24)</f>
        <v>9</v>
      </c>
      <c r="C24" s="9">
        <f>COUNTIFS('01_Findings'!$D$5:$D$66,A24,'01_Findings'!$G$5:$G$66,"Yes")</f>
        <v>5</v>
      </c>
      <c r="D24" s="9">
        <f>COUNTIFS('01_Findings'!$D$5:$D$66,A24,'01_Findings'!$N$5:$N$66,"Open")</f>
        <v>9</v>
      </c>
    </row>
    <row r="25" spans="1:10" ht="15" customHeight="1" x14ac:dyDescent="0.35">
      <c r="A25" s="9" t="s">
        <v>33</v>
      </c>
      <c r="B25" s="9">
        <f>COUNTIF('01_Findings'!$D$5:$D$66,A25)</f>
        <v>1</v>
      </c>
      <c r="C25" s="9">
        <f>COUNTIFS('01_Findings'!$D$5:$D$66,A25,'01_Findings'!$G$5:$G$66,"Yes")</f>
        <v>1</v>
      </c>
      <c r="D25" s="9">
        <f>COUNTIFS('01_Findings'!$D$5:$D$66,A25,'01_Findings'!$N$5:$N$66,"Open")</f>
        <v>1</v>
      </c>
    </row>
    <row r="26" spans="1:10" ht="15" customHeight="1" x14ac:dyDescent="0.35">
      <c r="A26" s="9" t="s">
        <v>34</v>
      </c>
      <c r="B26" s="9">
        <f>COUNTIF('01_Findings'!$D$5:$D$66,A26)</f>
        <v>1</v>
      </c>
      <c r="C26" s="9">
        <f>COUNTIFS('01_Findings'!$D$5:$D$66,A26,'01_Findings'!$G$5:$G$66,"Yes")</f>
        <v>1</v>
      </c>
      <c r="D26" s="9">
        <f>COUNTIFS('01_Findings'!$D$5:$D$66,A26,'01_Findings'!$N$5:$N$66,"Open")</f>
        <v>1</v>
      </c>
    </row>
    <row r="29" spans="1:10" ht="15" customHeight="1" x14ac:dyDescent="0.35">
      <c r="A29" s="11" t="s">
        <v>35</v>
      </c>
    </row>
    <row r="30" spans="1:10" ht="15" customHeight="1" x14ac:dyDescent="0.35">
      <c r="A30" s="15" t="s">
        <v>36</v>
      </c>
      <c r="B30" s="15" t="s">
        <v>37</v>
      </c>
      <c r="C30" s="15" t="s">
        <v>38</v>
      </c>
    </row>
    <row r="31" spans="1:10" ht="15" customHeight="1" x14ac:dyDescent="0.35">
      <c r="A31" s="9" t="s">
        <v>514</v>
      </c>
      <c r="B31" s="9">
        <f>COUNTIF('01B_Findings_ID'!$N$5:$N$66,A31)</f>
        <v>58</v>
      </c>
      <c r="C31" s="16">
        <f>IFERROR(B31/COUNTA('01_Findings'!$F$5:$F$66),0)</f>
        <v>0.93548387096774188</v>
      </c>
    </row>
    <row r="32" spans="1:10" ht="15" customHeight="1" x14ac:dyDescent="0.35">
      <c r="A32" s="9" t="s">
        <v>1488</v>
      </c>
      <c r="B32" s="9">
        <f>COUNTIF('01B_Findings_ID'!$N$5:$N$66,A32)</f>
        <v>0</v>
      </c>
      <c r="C32" s="16">
        <f>IFERROR(B32/COUNTA('01_Findings'!$F$5:$F$66),0)</f>
        <v>0</v>
      </c>
    </row>
    <row r="33" spans="1:10" ht="15" customHeight="1" x14ac:dyDescent="0.35">
      <c r="A33" s="9" t="s">
        <v>1495</v>
      </c>
      <c r="B33" s="9">
        <f>COUNTIF('01B_Findings_ID'!$N$5:$N$66,A33)</f>
        <v>0</v>
      </c>
      <c r="C33" s="16">
        <f>IFERROR(B33/COUNTA('01_Findings'!$F$5:$F$66),0)</f>
        <v>0</v>
      </c>
    </row>
    <row r="34" spans="1:10" ht="15" customHeight="1" x14ac:dyDescent="0.35">
      <c r="A34" s="9" t="s">
        <v>1496</v>
      </c>
      <c r="B34" s="9">
        <f>COUNTIF('01B_Findings_ID'!$N$5:$N$66,A34)</f>
        <v>0</v>
      </c>
      <c r="C34" s="16">
        <f>IFERROR(B34/COUNTA('01_Findings'!$F$5:$F$66),0)</f>
        <v>0</v>
      </c>
    </row>
    <row r="35" spans="1:10" ht="15" customHeight="1" x14ac:dyDescent="0.35">
      <c r="A35" s="9" t="s">
        <v>1492</v>
      </c>
      <c r="B35" s="9">
        <f>COUNTIF('01B_Findings_ID'!$N$5:$N$66,A35)</f>
        <v>3</v>
      </c>
      <c r="C35" s="16">
        <f>IFERROR(B35/COUNTA('01_Findings'!$F$5:$F$66),0)</f>
        <v>4.8387096774193547E-2</v>
      </c>
    </row>
    <row r="36" spans="1:10" ht="15" customHeight="1" x14ac:dyDescent="0.35">
      <c r="A36" s="9" t="s">
        <v>1497</v>
      </c>
      <c r="B36" s="9">
        <f>COUNTIF('01B_Findings_ID'!$N$5:$N$66,A36)</f>
        <v>0</v>
      </c>
      <c r="C36" s="16">
        <f>IFERROR(B36/COUNTA('01_Findings'!$F$5:$F$66),0)</f>
        <v>0</v>
      </c>
    </row>
    <row r="37" spans="1:10" ht="15" customHeight="1" x14ac:dyDescent="0.35">
      <c r="A37" s="9" t="s">
        <v>1491</v>
      </c>
      <c r="B37" s="9">
        <f>COUNTIF('01B_Findings_ID'!$N$5:$N$66,A37)</f>
        <v>1</v>
      </c>
      <c r="C37" s="16">
        <f>IFERROR(B37/COUNTA('01_Findings'!$F$5:$F$66),0)</f>
        <v>1.6129032258064516E-2</v>
      </c>
    </row>
    <row r="38" spans="1:10" ht="15" customHeight="1" x14ac:dyDescent="0.35">
      <c r="A38" s="12" t="s">
        <v>39</v>
      </c>
      <c r="B38" s="12">
        <f>COUNTIFS('01B_Findings_ID'!$G$5:$G$66,"Ya",'01B_Findings_ID'!$N$5:$N$66,"Selesai")+COUNTIFS('01B_Findings_ID'!$G$5:$G$66,"Ya",'01B_Findings_ID'!$N$5:$N$66,"Uji ulang lulus")</f>
        <v>1</v>
      </c>
      <c r="C38" s="17">
        <f>IFERROR(B38/COUNTIF('01_Findings'!$G$5:$G$66,"Yes"),0)</f>
        <v>2.564102564102564E-2</v>
      </c>
    </row>
    <row r="39" spans="1:10" ht="15" customHeight="1" x14ac:dyDescent="0.35">
      <c r="A39" s="14" t="s">
        <v>40</v>
      </c>
    </row>
    <row r="42" spans="1:10" ht="15" customHeight="1" x14ac:dyDescent="0.35">
      <c r="A42" s="11" t="s">
        <v>41</v>
      </c>
    </row>
    <row r="43" spans="1:10" ht="15" customHeight="1" x14ac:dyDescent="0.35">
      <c r="A43" s="38" t="s">
        <v>1463</v>
      </c>
      <c r="B43" s="38"/>
      <c r="C43" s="38"/>
      <c r="D43" s="38"/>
      <c r="E43" s="38"/>
      <c r="F43" s="38"/>
      <c r="G43" s="38"/>
      <c r="H43" s="38"/>
      <c r="I43" s="38"/>
      <c r="J43" s="38"/>
    </row>
    <row r="44" spans="1:10" ht="15" customHeight="1" x14ac:dyDescent="0.35">
      <c r="A44" s="38" t="s">
        <v>1464</v>
      </c>
      <c r="B44" s="38"/>
      <c r="C44" s="38"/>
      <c r="D44" s="38"/>
      <c r="E44" s="38"/>
      <c r="F44" s="38"/>
      <c r="G44" s="38"/>
      <c r="H44" s="38"/>
      <c r="I44" s="38"/>
      <c r="J44" s="38"/>
    </row>
    <row r="45" spans="1:10" ht="15" customHeight="1" x14ac:dyDescent="0.35">
      <c r="A45" s="38" t="s">
        <v>1465</v>
      </c>
      <c r="B45" s="38"/>
      <c r="C45" s="38"/>
      <c r="D45" s="38"/>
      <c r="E45" s="38"/>
      <c r="F45" s="38"/>
      <c r="G45" s="38"/>
      <c r="H45" s="38"/>
      <c r="I45" s="38"/>
      <c r="J45" s="38"/>
    </row>
    <row r="46" spans="1:10" ht="15" customHeight="1" x14ac:dyDescent="0.35">
      <c r="A46" s="38" t="s">
        <v>42</v>
      </c>
      <c r="B46" s="38"/>
      <c r="C46" s="38"/>
      <c r="D46" s="38"/>
      <c r="E46" s="38"/>
      <c r="F46" s="38"/>
      <c r="G46" s="38"/>
      <c r="H46" s="38"/>
      <c r="I46" s="38"/>
      <c r="J46" s="38"/>
    </row>
    <row r="47" spans="1:10" ht="15" customHeight="1" x14ac:dyDescent="0.35">
      <c r="A47" s="38" t="s">
        <v>43</v>
      </c>
      <c r="B47" s="38"/>
      <c r="C47" s="38"/>
      <c r="D47" s="38"/>
      <c r="E47" s="38"/>
      <c r="F47" s="38"/>
      <c r="G47" s="38"/>
      <c r="H47" s="38"/>
      <c r="I47" s="38"/>
      <c r="J47" s="38"/>
    </row>
    <row r="48" spans="1:10" ht="15" customHeight="1" x14ac:dyDescent="0.35">
      <c r="A48" s="38" t="s">
        <v>44</v>
      </c>
      <c r="B48" s="38"/>
      <c r="C48" s="38"/>
      <c r="D48" s="38"/>
      <c r="E48" s="38"/>
      <c r="F48" s="38"/>
      <c r="G48" s="38"/>
      <c r="H48" s="38"/>
      <c r="I48" s="38"/>
      <c r="J48" s="38"/>
    </row>
    <row r="49" spans="1:10" ht="15" customHeight="1" x14ac:dyDescent="0.35">
      <c r="A49" s="38"/>
      <c r="B49" s="38"/>
      <c r="C49" s="38"/>
      <c r="D49" s="38"/>
      <c r="E49" s="38"/>
      <c r="F49" s="38"/>
      <c r="G49" s="38"/>
      <c r="H49" s="38"/>
      <c r="I49" s="38"/>
      <c r="J49" s="38"/>
    </row>
    <row r="50" spans="1:10" ht="15" customHeight="1" x14ac:dyDescent="0.35">
      <c r="A50" s="38" t="s">
        <v>1466</v>
      </c>
      <c r="B50" s="38"/>
      <c r="C50" s="38"/>
      <c r="D50" s="38"/>
      <c r="E50" s="38"/>
      <c r="F50" s="38"/>
      <c r="G50" s="38"/>
      <c r="H50" s="38"/>
      <c r="I50" s="38"/>
      <c r="J50" s="38"/>
    </row>
  </sheetData>
  <mergeCells count="11">
    <mergeCell ref="A48:J48"/>
    <mergeCell ref="A49:J49"/>
    <mergeCell ref="A50:J50"/>
    <mergeCell ref="A1:K1"/>
    <mergeCell ref="A2:K2"/>
    <mergeCell ref="A3:K3"/>
    <mergeCell ref="A43:J43"/>
    <mergeCell ref="A44:J44"/>
    <mergeCell ref="A45:J45"/>
    <mergeCell ref="A46:J46"/>
    <mergeCell ref="A47:J4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showGridLines="0" topLeftCell="C1" zoomScaleNormal="100" workbookViewId="0">
      <pane ySplit="5" topLeftCell="A6" activePane="bottomLeft" state="frozen"/>
      <selection pane="bottomLeft" activeCell="G27" sqref="G27"/>
    </sheetView>
  </sheetViews>
  <sheetFormatPr defaultColWidth="8.7265625" defaultRowHeight="14.5" x14ac:dyDescent="0.35"/>
  <cols>
    <col min="1" max="1" width="26" style="10" customWidth="1"/>
    <col min="2" max="3" width="56" style="10" customWidth="1"/>
    <col min="4" max="4" width="3" style="10" customWidth="1"/>
    <col min="5" max="5" width="10" style="10" customWidth="1"/>
    <col min="6" max="6" width="11" style="10" customWidth="1"/>
    <col min="7" max="7" width="10" style="10" customWidth="1"/>
    <col min="8" max="8" width="18" style="10" customWidth="1"/>
    <col min="9" max="9" width="60" style="10" customWidth="1"/>
    <col min="10" max="16384" width="8.7265625" style="10"/>
  </cols>
  <sheetData>
    <row r="1" spans="1:9" ht="18" customHeight="1" x14ac:dyDescent="0.45">
      <c r="A1" s="36" t="s">
        <v>45</v>
      </c>
      <c r="B1" s="36"/>
      <c r="C1" s="36"/>
      <c r="D1" s="36"/>
      <c r="E1" s="36"/>
      <c r="F1" s="36"/>
      <c r="G1" s="36"/>
      <c r="H1" s="36"/>
      <c r="I1" s="36"/>
    </row>
    <row r="2" spans="1:9" ht="15" customHeight="1" x14ac:dyDescent="0.35">
      <c r="A2" s="37" t="s">
        <v>46</v>
      </c>
      <c r="B2" s="37"/>
      <c r="C2" s="37"/>
      <c r="D2" s="37"/>
      <c r="E2" s="37"/>
      <c r="F2" s="37"/>
      <c r="G2" s="37"/>
      <c r="H2" s="37"/>
      <c r="I2" s="37"/>
    </row>
    <row r="4" spans="1:9" ht="15" customHeight="1" x14ac:dyDescent="0.35">
      <c r="E4" s="11" t="s">
        <v>47</v>
      </c>
    </row>
    <row r="5" spans="1:9" ht="33.75" customHeight="1" x14ac:dyDescent="0.35">
      <c r="A5" s="18" t="s">
        <v>48</v>
      </c>
      <c r="B5" s="19" t="s">
        <v>498</v>
      </c>
      <c r="C5" s="12" t="str">
        <f>IF(COUNTIF('01_Findings'!$A$5:$A$66,$B$5)=0,"Nomor tidak ada. Isi antara QC-001 sampai QC-047.","Ditemukan di 01_Findings baris "&amp;(MATCH($B$5,'01_Findings'!$A$5:$A$66,0)+4))</f>
        <v>Ditemukan di 01_Findings baris 66</v>
      </c>
      <c r="E5" s="20" t="s">
        <v>50</v>
      </c>
      <c r="F5" s="20" t="s">
        <v>51</v>
      </c>
      <c r="G5" s="20" t="s">
        <v>52</v>
      </c>
      <c r="H5" s="20" t="s">
        <v>16</v>
      </c>
      <c r="I5" s="20" t="s">
        <v>53</v>
      </c>
    </row>
    <row r="6" spans="1:9" ht="15" customHeight="1" x14ac:dyDescent="0.35">
      <c r="E6" s="21" t="str">
        <f>'01B_Findings_ID'!A5</f>
        <v>QC-001</v>
      </c>
      <c r="F6" s="22" t="str">
        <f>'01B_Findings_ID'!F5</f>
        <v>Kritis</v>
      </c>
      <c r="G6" s="22" t="str">
        <f>'01B_Findings_ID'!G5</f>
        <v>Ya</v>
      </c>
      <c r="H6" s="22" t="str">
        <f>'01B_Findings_ID'!C5</f>
        <v>Leakage</v>
      </c>
      <c r="I6" s="23" t="str">
        <f>'01B_Findings_ID'!H5</f>
        <v>Grafik kategori Leakage menampilkan nol semua</v>
      </c>
    </row>
    <row r="7" spans="1:9" ht="15" customHeight="1" x14ac:dyDescent="0.35">
      <c r="A7" s="11" t="s">
        <v>54</v>
      </c>
      <c r="E7" s="21" t="str">
        <f>'01B_Findings_ID'!A6</f>
        <v>QC-002</v>
      </c>
      <c r="F7" s="22" t="str">
        <f>'01B_Findings_ID'!F6</f>
        <v>Kritis</v>
      </c>
      <c r="G7" s="22" t="str">
        <f>'01B_Findings_ID'!G6</f>
        <v>Ya</v>
      </c>
      <c r="H7" s="22" t="str">
        <f>'01B_Findings_ID'!C6</f>
        <v>Semua agent</v>
      </c>
      <c r="I7" s="23" t="str">
        <f>'01B_Findings_ID'!H6</f>
        <v>Empat agent berjalan di atas empat batch data yang tidak berhubungan</v>
      </c>
    </row>
    <row r="8" spans="1:9" ht="15" customHeight="1" x14ac:dyDescent="0.35">
      <c r="B8" s="24" t="s">
        <v>55</v>
      </c>
      <c r="C8" s="24" t="s">
        <v>56</v>
      </c>
      <c r="E8" s="21" t="str">
        <f>'01B_Findings_ID'!A7</f>
        <v>QC-003</v>
      </c>
      <c r="F8" s="22" t="str">
        <f>'01B_Findings_ID'!F7</f>
        <v>Kritis</v>
      </c>
      <c r="G8" s="22" t="str">
        <f>'01B_Findings_ID'!G7</f>
        <v>Ya</v>
      </c>
      <c r="H8" s="22" t="str">
        <f>'01B_Findings_ID'!C7</f>
        <v>Finance + Collection</v>
      </c>
      <c r="I8" s="23" t="str">
        <f>'01B_Findings_ID'!H7</f>
        <v>Basis pendapatan Collection sekitar 15 kali lipat pendapatan Finance</v>
      </c>
    </row>
    <row r="9" spans="1:9" ht="15" customHeight="1" x14ac:dyDescent="0.35">
      <c r="A9" s="18" t="s">
        <v>57</v>
      </c>
      <c r="B9" s="22" t="str">
        <f>IFERROR(INDEX('01B_Findings_ID'!$F$5:$F$66,MATCH($B$5,'01B_Findings_ID'!$A$5:$A$66,0)),"tidak ditemukan")</f>
        <v>Sedang</v>
      </c>
      <c r="C9" s="22" t="str">
        <f>IFERROR(INDEX('01_Findings'!$F$5:$F$66,MATCH($B$5,'01_Findings'!$A$5:$A$66,0)),"tidak ditemukan")</f>
        <v>Medium</v>
      </c>
      <c r="E9" s="21" t="str">
        <f>'01B_Findings_ID'!A8</f>
        <v>QC-004</v>
      </c>
      <c r="F9" s="22" t="str">
        <f>'01B_Findings_ID'!F8</f>
        <v>Kritis</v>
      </c>
      <c r="G9" s="22" t="str">
        <f>'01B_Findings_ID'!G8</f>
        <v>Ya</v>
      </c>
      <c r="H9" s="22" t="str">
        <f>'01B_Findings_ID'!C8</f>
        <v>Treasury</v>
      </c>
      <c r="I9" s="23" t="str">
        <f>'01B_Findings_ID'!H8</f>
        <v>Aksi penundaan pembayaran menggerakkan headroom ke arah yang salah</v>
      </c>
    </row>
    <row r="10" spans="1:9" ht="15" customHeight="1" x14ac:dyDescent="0.35">
      <c r="A10" s="18" t="s">
        <v>58</v>
      </c>
      <c r="B10" s="22" t="str">
        <f>IFERROR(INDEX('01B_Findings_ID'!$G$5:$G$66,MATCH($B$5,'01B_Findings_ID'!$A$5:$A$66,0)),"tidak ditemukan")</f>
        <v>Tidak</v>
      </c>
      <c r="C10" s="22" t="str">
        <f>IFERROR(INDEX('01_Findings'!$G$5:$G$66,MATCH($B$5,'01_Findings'!$A$5:$A$66,0)),"tidak ditemukan")</f>
        <v>No</v>
      </c>
      <c r="E10" s="21" t="str">
        <f>'01B_Findings_ID'!A9</f>
        <v>QC-005</v>
      </c>
      <c r="F10" s="22" t="str">
        <f>'01B_Findings_ID'!F9</f>
        <v>Kritis</v>
      </c>
      <c r="G10" s="22" t="str">
        <f>'01B_Findings_ID'!G9</f>
        <v>Ya</v>
      </c>
      <c r="H10" s="22" t="str">
        <f>'01B_Findings_ID'!C9</f>
        <v>Treasury</v>
      </c>
      <c r="I10" s="23" t="str">
        <f>'01B_Findings_ID'!H9</f>
        <v>Aksi mencampur headroom dengan saldo kas dalam satu perbandingan</v>
      </c>
    </row>
    <row r="11" spans="1:9" ht="15" customHeight="1" x14ac:dyDescent="0.35">
      <c r="A11" s="18" t="s">
        <v>16</v>
      </c>
      <c r="B11" s="22" t="str">
        <f>IFERROR(INDEX('01B_Findings_ID'!$C$5:$C$66,MATCH($B$5,'01B_Findings_ID'!$A$5:$A$66,0)),"tidak ditemukan")</f>
        <v>Semua agent</v>
      </c>
      <c r="C11" s="22" t="str">
        <f>IFERROR(INDEX('01_Findings'!$C$5:$C$66,MATCH($B$5,'01_Findings'!$A$5:$A$66,0)),"tidak ditemukan")</f>
        <v>All</v>
      </c>
      <c r="E11" s="21" t="str">
        <f>'01B_Findings_ID'!A10</f>
        <v>QC-006</v>
      </c>
      <c r="F11" s="22" t="str">
        <f>'01B_Findings_ID'!F10</f>
        <v>Kritis</v>
      </c>
      <c r="G11" s="22" t="str">
        <f>'01B_Findings_ID'!G10</f>
        <v>Ya</v>
      </c>
      <c r="H11" s="22" t="str">
        <f>'01B_Findings_ID'!C10</f>
        <v>Semua agent</v>
      </c>
      <c r="I11" s="23" t="str">
        <f>'01B_Findings_ID'!H10</f>
        <v>Riwayat percakapan penuh dengan pesan uji coba developer</v>
      </c>
    </row>
    <row r="12" spans="1:9" ht="15" customHeight="1" x14ac:dyDescent="0.35">
      <c r="A12" s="18" t="s">
        <v>59</v>
      </c>
      <c r="B12" s="22" t="str">
        <f>IFERROR(INDEX('01B_Findings_ID'!$D$5:$D$66,MATCH($B$5,'01B_Findings_ID'!$A$5:$A$66,0)),"tidak ditemukan")</f>
        <v>c. Tombol / menu / fungsi</v>
      </c>
      <c r="C12" s="22" t="str">
        <f>IFERROR(INDEX('01_Findings'!$D$5:$D$66,MATCH($B$5,'01_Findings'!$A$5:$A$66,0)),"tidak ditemukan")</f>
        <v>c. Button / menu / function</v>
      </c>
      <c r="E12" s="21" t="str">
        <f>'01B_Findings_ID'!A11</f>
        <v>QC-007</v>
      </c>
      <c r="F12" s="22" t="str">
        <f>'01B_Findings_ID'!F11</f>
        <v>Tinggi</v>
      </c>
      <c r="G12" s="22" t="str">
        <f>'01B_Findings_ID'!G11</f>
        <v>Ya</v>
      </c>
      <c r="H12" s="22" t="str">
        <f>'01B_Findings_ID'!C11</f>
        <v>Collection</v>
      </c>
      <c r="I12" s="23" t="str">
        <f>'01B_Findings_ID'!H11</f>
        <v>KPI high-risk dan grafik risk tier tidak sama di layar yang sama</v>
      </c>
    </row>
    <row r="13" spans="1:9" ht="15" customHeight="1" x14ac:dyDescent="0.35">
      <c r="A13" s="18" t="s">
        <v>60</v>
      </c>
      <c r="B13" s="22" t="str">
        <f>IFERROR(INDEX('01B_Findings_ID'!$E$5:$E$66,MATCH($B$5,'01B_Findings_ID'!$A$5:$A$66,0)),"tidak ditemukan")</f>
        <v>Fitur hilang</v>
      </c>
      <c r="C13" s="22" t="str">
        <f>IFERROR(INDEX('01_Findings'!$E$5:$E$66,MATCH($B$5,'01_Findings'!$A$5:$A$66,0)),"tidak ditemukan")</f>
        <v>Feature gap</v>
      </c>
      <c r="E13" s="21" t="str">
        <f>'01B_Findings_ID'!A12</f>
        <v>QC-008</v>
      </c>
      <c r="F13" s="22" t="str">
        <f>'01B_Findings_ID'!F12</f>
        <v>Tinggi</v>
      </c>
      <c r="G13" s="22" t="str">
        <f>'01B_Findings_ID'!G12</f>
        <v>Ya</v>
      </c>
      <c r="H13" s="22" t="str">
        <f>'01B_Findings_ID'!C12</f>
        <v>Collection</v>
      </c>
      <c r="I13" s="23" t="str">
        <f>'01B_Findings_ID'!H12</f>
        <v>Definisi 'Top 5' berbeda tiga kali di dalam satu agent</v>
      </c>
    </row>
    <row r="14" spans="1:9" ht="15" customHeight="1" x14ac:dyDescent="0.35">
      <c r="A14" s="18" t="s">
        <v>61</v>
      </c>
      <c r="B14" s="22" t="str">
        <f>IFERROR(INDEX('01B_Findings_ID'!$L$5:$L$66,MATCH($B$5,'01B_Findings_ID'!$A$5:$A$66,0)),"tidak ditemukan")</f>
        <v>Pemilik demo</v>
      </c>
      <c r="C14" s="22" t="str">
        <f>IFERROR(INDEX('01_Findings'!$L$5:$L$66,MATCH($B$5,'01_Findings'!$A$5:$A$66,0)),"tidak ditemukan")</f>
        <v>Demo owner</v>
      </c>
      <c r="E14" s="21" t="str">
        <f>'01B_Findings_ID'!A13</f>
        <v>QC-009</v>
      </c>
      <c r="F14" s="22" t="str">
        <f>'01B_Findings_ID'!F13</f>
        <v>Tinggi</v>
      </c>
      <c r="G14" s="22" t="str">
        <f>'01B_Findings_ID'!G13</f>
        <v>Ya</v>
      </c>
      <c r="H14" s="22" t="str">
        <f>'01B_Findings_ID'!C13</f>
        <v>Finance</v>
      </c>
      <c r="I14" s="23" t="str">
        <f>'01B_Findings_ID'!H13</f>
        <v>Ada dua target margin EBITDA yang dipakai bersamaan</v>
      </c>
    </row>
    <row r="15" spans="1:9" ht="15" customHeight="1" x14ac:dyDescent="0.35">
      <c r="A15" s="18" t="s">
        <v>62</v>
      </c>
      <c r="B15" s="22" t="str">
        <f>IFERROR(INDEX('01B_Findings_ID'!$M$5:$M$66,MATCH($B$5,'01B_Findings_ID'!$A$5:$A$66,0)),"tidak ditemukan")</f>
        <v>2026-08-04</v>
      </c>
      <c r="C15" s="22" t="str">
        <f>IFERROR(INDEX('01_Findings'!$M$5:$M$66,MATCH($B$5,'01_Findings'!$A$5:$A$66,0)),"tidak ditemukan")</f>
        <v>2026-08-04</v>
      </c>
      <c r="E15" s="21" t="str">
        <f>'01B_Findings_ID'!A14</f>
        <v>QC-010</v>
      </c>
      <c r="F15" s="22" t="str">
        <f>'01B_Findings_ID'!F14</f>
        <v>Tinggi</v>
      </c>
      <c r="G15" s="22" t="str">
        <f>'01B_Findings_ID'!G14</f>
        <v>Ya</v>
      </c>
      <c r="H15" s="22" t="str">
        <f>'01B_Findings_ID'!C14</f>
        <v>Finance</v>
      </c>
      <c r="I15" s="23" t="str">
        <f>'01B_Findings_ID'!H14</f>
        <v>Varians harga sekitar sepuluh kali lebih kecil dari penurunan harga yang diklaim</v>
      </c>
    </row>
    <row r="16" spans="1:9" ht="15" customHeight="1" x14ac:dyDescent="0.35">
      <c r="A16" s="18" t="s">
        <v>36</v>
      </c>
      <c r="B16" s="22" t="str">
        <f>IFERROR(INDEX('01B_Findings_ID'!$N$5:$N$66,MATCH($B$5,'01B_Findings_ID'!$A$5:$A$66,0)),"tidak ditemukan")</f>
        <v>Selesai</v>
      </c>
      <c r="C16" s="22" t="str">
        <f>IFERROR(INDEX('01_Findings'!$N$5:$N$66,MATCH($B$5,'01_Findings'!$A$5:$A$66,0)),"tidak ditemukan")</f>
        <v>Open</v>
      </c>
      <c r="E16" s="21" t="str">
        <f>'01B_Findings_ID'!A15</f>
        <v>QC-011</v>
      </c>
      <c r="F16" s="22" t="str">
        <f>'01B_Findings_ID'!F15</f>
        <v>Tinggi</v>
      </c>
      <c r="G16" s="22" t="str">
        <f>'01B_Findings_ID'!G15</f>
        <v>Ya</v>
      </c>
      <c r="H16" s="22" t="str">
        <f>'01B_Findings_ID'!C15</f>
        <v>Finance</v>
      </c>
      <c r="I16" s="23" t="str">
        <f>'01B_Findings_ID'!H15</f>
        <v>Varians COGS disebut dengan dua angka berbeda</v>
      </c>
    </row>
    <row r="17" spans="1:9" ht="15" customHeight="1" x14ac:dyDescent="0.35">
      <c r="A17" s="11" t="s">
        <v>63</v>
      </c>
      <c r="E17" s="21" t="str">
        <f>'01B_Findings_ID'!A16</f>
        <v>QC-012</v>
      </c>
      <c r="F17" s="22" t="str">
        <f>'01B_Findings_ID'!F16</f>
        <v>Tinggi</v>
      </c>
      <c r="G17" s="22" t="str">
        <f>'01B_Findings_ID'!G16</f>
        <v>Tidak</v>
      </c>
      <c r="H17" s="22" t="str">
        <f>'01B_Findings_ID'!C16</f>
        <v>Finance</v>
      </c>
      <c r="I17" s="23" t="str">
        <f>'01B_Findings_ID'!H16</f>
        <v>Dua angka yang hampir sama artinya berbeda</v>
      </c>
    </row>
    <row r="18" spans="1:9" ht="15" customHeight="1" x14ac:dyDescent="0.35">
      <c r="A18" s="18" t="s">
        <v>64</v>
      </c>
      <c r="B18" s="25" t="str">
        <f>IFERROR(INDEX('01B_Findings_ID'!$H$5:$H$66,MATCH($B$5,'01B_Findings_ID'!$A$5:$A$66,0)),"tidak ditemukan")</f>
        <v>Belum bisa dipastikan apakah chat bisa menampilkan grafik dan tabel</v>
      </c>
      <c r="C18" s="25" t="str">
        <f>IFERROR(INDEX('01_Findings'!$H$5:$H$66,MATCH($B$5,'01_Findings'!$A$5:$A$66,0)),"tidak ditemukan")</f>
        <v>Chat cannot be verified to render charts and tables</v>
      </c>
      <c r="E18" s="21" t="str">
        <f>'01B_Findings_ID'!A17</f>
        <v>QC-013</v>
      </c>
      <c r="F18" s="22" t="str">
        <f>'01B_Findings_ID'!F17</f>
        <v>Sedang</v>
      </c>
      <c r="G18" s="22" t="str">
        <f>'01B_Findings_ID'!G17</f>
        <v>Tidak</v>
      </c>
      <c r="H18" s="22" t="str">
        <f>'01B_Findings_ID'!C17</f>
        <v>Leakage</v>
      </c>
      <c r="I18" s="23" t="str">
        <f>'01B_Findings_ID'!H17</f>
        <v>Batang berlabel 'Current 95%' tidak menunjukkan posisi saat ini</v>
      </c>
    </row>
    <row r="19" spans="1:9" ht="15" customHeight="1" x14ac:dyDescent="0.35">
      <c r="A19" s="18" t="s">
        <v>65</v>
      </c>
      <c r="B19" s="25" t="str">
        <f>IFERROR(INDEX('01B_Findings_ID'!$I$5:$I$66,MATCH($B$5,'01B_Findings_ID'!$A$5:$A$66,0)),"tidak ditemukan")</f>
        <v>Mockup menjawab CFO challenge dengan grafik yang dirender ditambah tabel dan lencana keyakinan. Endpoint chat Azure hanya POST dan tidak bisa diuji dari review read-only, jadi status ini belum diketahui, bukan dipastikan hilang.</v>
      </c>
      <c r="C19" s="25" t="str">
        <f>IFERROR(INDEX('01_Findings'!$I$5:$I$66,MATCH($B$5,'01_Findings'!$A$5:$A$66,0)),"tidak ditemukan")</f>
        <v>The mockup answers a CFO challenge with a rendered chart plus a table and a confidence badge. The Azure chat endpoint is POST only and cannot be exercised from a read-only review, so this is unknown rather than confirmed missing.</v>
      </c>
      <c r="E19" s="21" t="str">
        <f>'01B_Findings_ID'!A18</f>
        <v>QC-014</v>
      </c>
      <c r="F19" s="22" t="str">
        <f>'01B_Findings_ID'!F18</f>
        <v>Tinggi</v>
      </c>
      <c r="G19" s="22" t="str">
        <f>'01B_Findings_ID'!G18</f>
        <v>Ya</v>
      </c>
      <c r="H19" s="22" t="str">
        <f>'01B_Findings_ID'!C18</f>
        <v>Leakage</v>
      </c>
      <c r="I19" s="23" t="str">
        <f>'01B_Findings_ID'!H18</f>
        <v>Jumlah flag di KPI tidak cocok dengan tabelnya</v>
      </c>
    </row>
    <row r="20" spans="1:9" ht="15" customHeight="1" x14ac:dyDescent="0.35">
      <c r="A20" s="18" t="s">
        <v>66</v>
      </c>
      <c r="B20" s="25" t="str">
        <f>IFERROR(INDEX('01B_Findings_ID'!$J$5:$J$66,MATCH($B$5,'01B_Findings_ID'!$A$5:$A$66,0)),"tidak ditemukan")</f>
        <v>Konfirmasi lewat uji manual MT-019. Kalau chat hanya mengembalikan teks, ini menjadi kesenjangan nyata.</v>
      </c>
      <c r="C20" s="25" t="str">
        <f>IFERROR(INDEX('01_Findings'!$J$5:$J$66,MATCH($B$5,'01_Findings'!$A$5:$A$66,0)),"tidak ditemukan")</f>
        <v>Confirm by running manual test MT-019. If chat returns text only, this becomes a real gap.</v>
      </c>
      <c r="E20" s="21" t="str">
        <f>'01B_Findings_ID'!A19</f>
        <v>QC-015</v>
      </c>
      <c r="F20" s="22" t="str">
        <f>'01B_Findings_ID'!F19</f>
        <v>Tinggi</v>
      </c>
      <c r="G20" s="22" t="str">
        <f>'01B_Findings_ID'!G19</f>
        <v>Ya</v>
      </c>
      <c r="H20" s="22" t="str">
        <f>'01B_Findings_ID'!C19</f>
        <v>Leakage</v>
      </c>
      <c r="I20" s="23" t="str">
        <f>'01B_Findings_ID'!H19</f>
        <v>Eksposur split invoice muncul di grafik tetapi di luar total</v>
      </c>
    </row>
    <row r="21" spans="1:9" ht="15" customHeight="1" x14ac:dyDescent="0.35">
      <c r="A21" s="18" t="s">
        <v>67</v>
      </c>
      <c r="B21" s="25" t="str">
        <f>IFERROR(INDEX('01B_Findings_ID'!$K$5:$K$66,MATCH($B$5,'01B_Findings_ID'!$A$5:$A$66,0)),"tidak ditemukan")</f>
        <v>Aplikasi yang di-deploy dibangun dengan lingkup lebih sempit daripada mockup acuan.</v>
      </c>
      <c r="C21" s="25" t="str">
        <f>IFERROR(INDEX('01_Findings'!$K$5:$K$66,MATCH($B$5,'01_Findings'!$A$5:$A$66,0)),"tidak ditemukan")</f>
        <v>The deployed app was built to a narrower scope than the reference mockup.</v>
      </c>
      <c r="E21" s="21" t="str">
        <f>'01B_Findings_ID'!A20</f>
        <v>QC-016</v>
      </c>
      <c r="F21" s="22" t="str">
        <f>'01B_Findings_ID'!F20</f>
        <v>Tinggi</v>
      </c>
      <c r="G21" s="22" t="str">
        <f>'01B_Findings_ID'!G20</f>
        <v>Ya</v>
      </c>
      <c r="H21" s="22" t="str">
        <f>'01B_Findings_ID'!C20</f>
        <v>Collection</v>
      </c>
      <c r="I21" s="23" t="str">
        <f>'01B_Findings_ID'!H20</f>
        <v>Dampak aksi tidak cocok dengan rekomendasinya sendiri</v>
      </c>
    </row>
    <row r="22" spans="1:9" ht="15" customHeight="1" x14ac:dyDescent="0.35">
      <c r="E22" s="21" t="str">
        <f>'01B_Findings_ID'!A21</f>
        <v>QC-017</v>
      </c>
      <c r="F22" s="22" t="str">
        <f>'01B_Findings_ID'!F21</f>
        <v>Tinggi</v>
      </c>
      <c r="G22" s="22" t="str">
        <f>'01B_Findings_ID'!G21</f>
        <v>Ya</v>
      </c>
      <c r="H22" s="22" t="str">
        <f>'01B_Findings_ID'!C21</f>
        <v>Treasury</v>
      </c>
      <c r="I22" s="23" t="str">
        <f>'01B_Findings_ID'!H21</f>
        <v>Aksi gabungan hanya menampilkan sebagian dampaknya sendiri</v>
      </c>
    </row>
    <row r="23" spans="1:9" ht="15" customHeight="1" x14ac:dyDescent="0.35">
      <c r="A23" s="11" t="s">
        <v>68</v>
      </c>
      <c r="E23" s="21" t="str">
        <f>'01B_Findings_ID'!A22</f>
        <v>QC-018</v>
      </c>
      <c r="F23" s="22" t="str">
        <f>'01B_Findings_ID'!F22</f>
        <v>Tinggi</v>
      </c>
      <c r="G23" s="22" t="str">
        <f>'01B_Findings_ID'!G22</f>
        <v>Tidak</v>
      </c>
      <c r="H23" s="22" t="str">
        <f>'01B_Findings_ID'!C22</f>
        <v>Collection</v>
      </c>
      <c r="I23" s="23" t="str">
        <f>'01B_Findings_ID'!H22</f>
        <v>Aksi memberi label konsentrasi top-2 sebagai porsi overdue keseluruhan</v>
      </c>
    </row>
    <row r="24" spans="1:9" ht="15" customHeight="1" x14ac:dyDescent="0.35">
      <c r="A24" s="18" t="s">
        <v>69</v>
      </c>
      <c r="B24" s="39" t="str">
        <f>IFERROR(INDEX('03_Formula_Checks'!$D$5:$D$66,MATCH($B$5,'03_Formula_Checks'!$G$5:$G$66,0)),"tidak ada pemeriksaan formula untuk nomor ini")</f>
        <v>tidak ada pemeriksaan formula untuk nomor ini</v>
      </c>
      <c r="C24" s="39"/>
      <c r="E24" s="21" t="str">
        <f>'01B_Findings_ID'!A23</f>
        <v>QC-019</v>
      </c>
      <c r="F24" s="22" t="str">
        <f>'01B_Findings_ID'!F23</f>
        <v>Tinggi</v>
      </c>
      <c r="G24" s="22" t="str">
        <f>'01B_Findings_ID'!G23</f>
        <v>Ya</v>
      </c>
      <c r="H24" s="22" t="str">
        <f>'01B_Findings_ID'!C23</f>
        <v>Treasury</v>
      </c>
      <c r="I24" s="23" t="str">
        <f>'01B_Findings_ID'!H23</f>
        <v>Aksi credit line berpatokan pada minggu yang salah</v>
      </c>
    </row>
    <row r="25" spans="1:9" ht="15" customHeight="1" x14ac:dyDescent="0.35">
      <c r="A25" s="18" t="s">
        <v>70</v>
      </c>
      <c r="B25" s="39" t="str">
        <f>IFERROR(INDEX('03_Formula_Checks'!$E$5:$E$66,MATCH($B$5,'03_Formula_Checks'!$G$5:$G$66,0)),"-")</f>
        <v>-</v>
      </c>
      <c r="C25" s="39"/>
      <c r="E25" s="21" t="str">
        <f>'01B_Findings_ID'!A24</f>
        <v>QC-020</v>
      </c>
      <c r="F25" s="22" t="str">
        <f>'01B_Findings_ID'!F24</f>
        <v>Tinggi</v>
      </c>
      <c r="G25" s="22" t="str">
        <f>'01B_Findings_ID'!G24</f>
        <v>Ya</v>
      </c>
      <c r="H25" s="22" t="str">
        <f>'01B_Findings_ID'!C24</f>
        <v>Semua agent</v>
      </c>
      <c r="I25" s="23" t="str">
        <f>'01B_Findings_ID'!H24</f>
        <v>Kunci nama agent tidak konsisten antar endpoint</v>
      </c>
    </row>
    <row r="26" spans="1:9" ht="15" customHeight="1" x14ac:dyDescent="0.35">
      <c r="A26" s="18" t="s">
        <v>71</v>
      </c>
      <c r="B26" s="40" t="str">
        <f>IFERROR(INDEX('03_Formula_Checks'!$F$5:$F$66,MATCH($B$5,'03_Formula_Checks'!$G$5:$G$66,0)),"-")</f>
        <v>-</v>
      </c>
      <c r="C26" s="40"/>
      <c r="E26" s="21" t="str">
        <f>'01B_Findings_ID'!A25</f>
        <v>QC-021</v>
      </c>
      <c r="F26" s="22" t="str">
        <f>'01B_Findings_ID'!F25</f>
        <v>Tinggi</v>
      </c>
      <c r="G26" s="22" t="str">
        <f>'01B_Findings_ID'!G25</f>
        <v>Ya</v>
      </c>
      <c r="H26" s="22" t="str">
        <f>'01B_Findings_ID'!C25</f>
        <v>Semua agent</v>
      </c>
      <c r="I26" s="23" t="str">
        <f>'01B_Findings_ID'!H25</f>
        <v>47 action card dengan duplikasi berat</v>
      </c>
    </row>
    <row r="27" spans="1:9" ht="15" customHeight="1" x14ac:dyDescent="0.35">
      <c r="E27" s="21" t="str">
        <f>'01B_Findings_ID'!A26</f>
        <v>QC-022</v>
      </c>
      <c r="F27" s="22" t="str">
        <f>'01B_Findings_ID'!F26</f>
        <v>Tinggi</v>
      </c>
      <c r="G27" s="22" t="str">
        <f>'01B_Findings_ID'!G26</f>
        <v>Ya</v>
      </c>
      <c r="H27" s="22" t="str">
        <f>'01B_Findings_ID'!C26</f>
        <v>Semua agent</v>
      </c>
      <c r="I27" s="23" t="str">
        <f>'01B_Findings_ID'!H26</f>
        <v>Dampak aksi bertumpuk tanpa pengaman double counting</v>
      </c>
    </row>
    <row r="28" spans="1:9" ht="15" customHeight="1" x14ac:dyDescent="0.35">
      <c r="E28" s="21" t="str">
        <f>'01B_Findings_ID'!A27</f>
        <v>QC-023</v>
      </c>
      <c r="F28" s="22" t="str">
        <f>'01B_Findings_ID'!F27</f>
        <v>Tinggi</v>
      </c>
      <c r="G28" s="22" t="str">
        <f>'01B_Findings_ID'!G27</f>
        <v>Tidak</v>
      </c>
      <c r="H28" s="22" t="str">
        <f>'01B_Findings_ID'!C27</f>
        <v>Semua agent</v>
      </c>
      <c r="I28" s="23" t="str">
        <f>'01B_Findings_ID'!H27</f>
        <v>47 alert yang sebenarnya menceritakan sekitar delapan hal</v>
      </c>
    </row>
    <row r="29" spans="1:9" ht="15" customHeight="1" x14ac:dyDescent="0.35">
      <c r="A29" s="11" t="s">
        <v>72</v>
      </c>
      <c r="E29" s="21" t="str">
        <f>'01B_Findings_ID'!A28</f>
        <v>QC-024</v>
      </c>
      <c r="F29" s="22" t="str">
        <f>'01B_Findings_ID'!F28</f>
        <v>Tinggi</v>
      </c>
      <c r="G29" s="22" t="str">
        <f>'01B_Findings_ID'!G28</f>
        <v>Ya</v>
      </c>
      <c r="H29" s="22" t="str">
        <f>'01B_Findings_ID'!C28</f>
        <v>Leakage</v>
      </c>
      <c r="I29" s="23" t="str">
        <f>'01B_Findings_ID'!H28</f>
        <v>Agent Leakage terbuka pada grafik kosong</v>
      </c>
    </row>
    <row r="30" spans="1:9" ht="15" customHeight="1" x14ac:dyDescent="0.35">
      <c r="A30" s="38" t="s">
        <v>73</v>
      </c>
      <c r="B30" s="38"/>
      <c r="C30" s="38"/>
      <c r="E30" s="21" t="str">
        <f>'01B_Findings_ID'!A29</f>
        <v>QC-025</v>
      </c>
      <c r="F30" s="22" t="str">
        <f>'01B_Findings_ID'!F29</f>
        <v>Tinggi</v>
      </c>
      <c r="G30" s="22" t="str">
        <f>'01B_Findings_ID'!G29</f>
        <v>Tidak</v>
      </c>
      <c r="H30" s="22" t="str">
        <f>'01B_Findings_ID'!C29</f>
        <v>Treasury</v>
      </c>
      <c r="I30" s="23" t="str">
        <f>'01B_Findings_ID'!H29</f>
        <v>Aksi FX menyatakan eksposur turun menjadi sebesar nilai hedge</v>
      </c>
    </row>
    <row r="31" spans="1:9" ht="15" customHeight="1" x14ac:dyDescent="0.35">
      <c r="A31" s="38" t="s">
        <v>74</v>
      </c>
      <c r="B31" s="38"/>
      <c r="C31" s="38"/>
      <c r="E31" s="21" t="str">
        <f>'01B_Findings_ID'!A30</f>
        <v>QC-026</v>
      </c>
      <c r="F31" s="22" t="str">
        <f>'01B_Findings_ID'!F30</f>
        <v>Sedang</v>
      </c>
      <c r="G31" s="22" t="str">
        <f>'01B_Findings_ID'!G30</f>
        <v>Tidak</v>
      </c>
      <c r="H31" s="22" t="str">
        <f>'01B_Findings_ID'!C30</f>
        <v>Collection</v>
      </c>
      <c r="I31" s="23" t="str">
        <f>'01B_Findings_ID'!H30</f>
        <v>Tingkat recovery mengabaikan umur piutang</v>
      </c>
    </row>
    <row r="32" spans="1:9" ht="15" customHeight="1" x14ac:dyDescent="0.35">
      <c r="E32" s="21" t="str">
        <f>'01B_Findings_ID'!A31</f>
        <v>QC-027</v>
      </c>
      <c r="F32" s="22" t="str">
        <f>'01B_Findings_ID'!F31</f>
        <v>Sedang</v>
      </c>
      <c r="G32" s="22" t="str">
        <f>'01B_Findings_ID'!G31</f>
        <v>Tidak</v>
      </c>
      <c r="H32" s="22" t="str">
        <f>'01B_Findings_ID'!C31</f>
        <v>Finance</v>
      </c>
      <c r="I32" s="23" t="str">
        <f>'01B_Findings_ID'!H31</f>
        <v>Satu persentase margin dibulatkan ke bawah, yang lain dibulatkan normal</v>
      </c>
    </row>
    <row r="33" spans="5:9" ht="15" customHeight="1" x14ac:dyDescent="0.35">
      <c r="E33" s="21" t="str">
        <f>'01B_Findings_ID'!A32</f>
        <v>QC-028</v>
      </c>
      <c r="F33" s="22" t="str">
        <f>'01B_Findings_ID'!F32</f>
        <v>Sedang</v>
      </c>
      <c r="G33" s="22" t="str">
        <f>'01B_Findings_ID'!G32</f>
        <v>Tidak</v>
      </c>
      <c r="H33" s="22" t="str">
        <f>'01B_Findings_ID'!C32</f>
        <v>Collection</v>
      </c>
      <c r="I33" s="23" t="str">
        <f>'01B_Findings_ID'!H32</f>
        <v>Gauge DSO menampilkan progres 120% pada metrik yang justru lebih baik bila rendah</v>
      </c>
    </row>
    <row r="34" spans="5:9" ht="15" customHeight="1" x14ac:dyDescent="0.35">
      <c r="E34" s="21" t="str">
        <f>'01B_Findings_ID'!A33</f>
        <v>QC-029</v>
      </c>
      <c r="F34" s="22" t="str">
        <f>'01B_Findings_ID'!F33</f>
        <v>Sedang</v>
      </c>
      <c r="G34" s="22" t="str">
        <f>'01B_Findings_ID'!G33</f>
        <v>Tidak</v>
      </c>
      <c r="H34" s="22" t="str">
        <f>'01B_Findings_ID'!C33</f>
        <v>Treasury</v>
      </c>
      <c r="I34" s="23" t="str">
        <f>'01B_Findings_ID'!H33</f>
        <v>Format angka tidak konsisten dalam satu baris KPI</v>
      </c>
    </row>
    <row r="35" spans="5:9" ht="15" customHeight="1" x14ac:dyDescent="0.35">
      <c r="E35" s="21" t="str">
        <f>'01B_Findings_ID'!A34</f>
        <v>QC-030</v>
      </c>
      <c r="F35" s="22" t="str">
        <f>'01B_Findings_ID'!F34</f>
        <v>Sedang</v>
      </c>
      <c r="G35" s="22" t="str">
        <f>'01B_Findings_ID'!G34</f>
        <v>Tidak</v>
      </c>
      <c r="H35" s="22" t="str">
        <f>'01B_Findings_ID'!C34</f>
        <v>Collection</v>
      </c>
      <c r="I35" s="23" t="str">
        <f>'01B_Findings_ID'!H34</f>
        <v>Aksi memberi label saldo dua pelanggan sebagai total piutang overdue</v>
      </c>
    </row>
    <row r="36" spans="5:9" ht="15" customHeight="1" x14ac:dyDescent="0.35">
      <c r="E36" s="21" t="str">
        <f>'01B_Findings_ID'!A35</f>
        <v>QC-031</v>
      </c>
      <c r="F36" s="22" t="str">
        <f>'01B_Findings_ID'!F35</f>
        <v>Sedang</v>
      </c>
      <c r="G36" s="22" t="str">
        <f>'01B_Findings_ID'!G35</f>
        <v>Tidak</v>
      </c>
      <c r="H36" s="22" t="str">
        <f>'01B_Findings_ID'!C35</f>
        <v>Leakage</v>
      </c>
      <c r="I36" s="23" t="str">
        <f>'01B_Findings_ID'!H35</f>
        <v>Aksi memakai angka setahun sementara dashboard menampilkan angka per siklus</v>
      </c>
    </row>
    <row r="37" spans="5:9" ht="15" customHeight="1" x14ac:dyDescent="0.35">
      <c r="E37" s="21" t="str">
        <f>'01B_Findings_ID'!A36</f>
        <v>QC-032</v>
      </c>
      <c r="F37" s="22" t="str">
        <f>'01B_Findings_ID'!F36</f>
        <v>Sedang</v>
      </c>
      <c r="G37" s="22" t="str">
        <f>'01B_Findings_ID'!G36</f>
        <v>Tidak</v>
      </c>
      <c r="H37" s="22" t="str">
        <f>'01B_Findings_ID'!C36</f>
        <v>Leakage</v>
      </c>
      <c r="I37" s="23" t="str">
        <f>'01B_Findings_ID'!H36</f>
        <v>Angka 900 mn yang sama muncul dengan tiga nama berbeda</v>
      </c>
    </row>
    <row r="38" spans="5:9" ht="15" customHeight="1" x14ac:dyDescent="0.35">
      <c r="E38" s="21" t="str">
        <f>'01B_Findings_ID'!A37</f>
        <v>QC-033</v>
      </c>
      <c r="F38" s="22" t="str">
        <f>'01B_Findings_ID'!F37</f>
        <v>Sedang</v>
      </c>
      <c r="G38" s="22" t="str">
        <f>'01B_Findings_ID'!G37</f>
        <v>Tidak</v>
      </c>
      <c r="H38" s="22" t="str">
        <f>'01B_Findings_ID'!C37</f>
        <v>Collection</v>
      </c>
      <c r="I38" s="23" t="str">
        <f>'01B_Findings_ID'!H37</f>
        <v>Dua grafik di layar yang sama mengurutkan pasangan data ke arah berlawanan</v>
      </c>
    </row>
    <row r="39" spans="5:9" ht="15" customHeight="1" x14ac:dyDescent="0.35">
      <c r="E39" s="21" t="str">
        <f>'01B_Findings_ID'!A38</f>
        <v>QC-034</v>
      </c>
      <c r="F39" s="22" t="str">
        <f>'01B_Findings_ID'!F38</f>
        <v>Sedang</v>
      </c>
      <c r="G39" s="22" t="str">
        <f>'01B_Findings_ID'!G38</f>
        <v>Tidak</v>
      </c>
      <c r="H39" s="22" t="str">
        <f>'01B_Findings_ID'!C38</f>
        <v>Treasury</v>
      </c>
      <c r="I39" s="23" t="str">
        <f>'01B_Findings_ID'!H38</f>
        <v>Batang bernilai nol di sebelah batang bernilai terbaca seperti gagal render</v>
      </c>
    </row>
    <row r="40" spans="5:9" ht="15" customHeight="1" x14ac:dyDescent="0.35">
      <c r="E40" s="21" t="str">
        <f>'01B_Findings_ID'!A39</f>
        <v>QC-035</v>
      </c>
      <c r="F40" s="22" t="str">
        <f>'01B_Findings_ID'!F39</f>
        <v>Sedang</v>
      </c>
      <c r="G40" s="22" t="str">
        <f>'01B_Findings_ID'!G39</f>
        <v>Ya</v>
      </c>
      <c r="H40" s="22" t="str">
        <f>'01B_Findings_ID'!C39</f>
        <v>Semua agent</v>
      </c>
      <c r="I40" s="23" t="str">
        <f>'01B_Findings_ID'!H39</f>
        <v>Tidak ada grafik yang mencantumkan periodenya</v>
      </c>
    </row>
    <row r="41" spans="5:9" ht="15" customHeight="1" x14ac:dyDescent="0.35">
      <c r="E41" s="21" t="str">
        <f>'01B_Findings_ID'!A40</f>
        <v>QC-036</v>
      </c>
      <c r="F41" s="22" t="str">
        <f>'01B_Findings_ID'!F40</f>
        <v>Sedang</v>
      </c>
      <c r="G41" s="22" t="str">
        <f>'01B_Findings_ID'!G40</f>
        <v>Tidak</v>
      </c>
      <c r="H41" s="22" t="str">
        <f>'01B_Findings_ID'!C40</f>
        <v>Finance</v>
      </c>
      <c r="I41" s="23" t="str">
        <f>'01B_Findings_ID'!H40</f>
        <v>Grafik samping menduplikasi grafik utama persis</v>
      </c>
    </row>
    <row r="42" spans="5:9" ht="15" customHeight="1" x14ac:dyDescent="0.35">
      <c r="E42" s="21" t="str">
        <f>'01B_Findings_ID'!A41</f>
        <v>QC-037</v>
      </c>
      <c r="F42" s="22" t="str">
        <f>'01B_Findings_ID'!F41</f>
        <v>Sedang</v>
      </c>
      <c r="G42" s="22" t="str">
        <f>'01B_Findings_ID'!G41</f>
        <v>Ya</v>
      </c>
      <c r="H42" s="22" t="str">
        <f>'01B_Findings_ID'!C41</f>
        <v>Treasury</v>
      </c>
      <c r="I42" s="23" t="str">
        <f>'01B_Findings_ID'!H41</f>
        <v>Grafik kas tidak bisa menjawab mengapa Minggu 5 rendah</v>
      </c>
    </row>
    <row r="43" spans="5:9" ht="15" customHeight="1" x14ac:dyDescent="0.35">
      <c r="E43" s="21" t="str">
        <f>'01B_Findings_ID'!A42</f>
        <v>QC-038</v>
      </c>
      <c r="F43" s="22" t="str">
        <f>'01B_Findings_ID'!F42</f>
        <v>Rendah</v>
      </c>
      <c r="G43" s="22" t="str">
        <f>'01B_Findings_ID'!G42</f>
        <v>Tidak</v>
      </c>
      <c r="H43" s="22" t="str">
        <f>'01B_Findings_ID'!C42</f>
        <v>Collection</v>
      </c>
      <c r="I43" s="23" t="str">
        <f>'01B_Findings_ID'!H42</f>
        <v>Kolom bucket pada worklist menempatkan seluruh saldo ke bucket tertua</v>
      </c>
    </row>
    <row r="44" spans="5:9" ht="15" customHeight="1" x14ac:dyDescent="0.35">
      <c r="E44" s="21" t="str">
        <f>'01B_Findings_ID'!A43</f>
        <v>QC-039</v>
      </c>
      <c r="F44" s="22" t="str">
        <f>'01B_Findings_ID'!F43</f>
        <v>Sedang</v>
      </c>
      <c r="G44" s="22" t="str">
        <f>'01B_Findings_ID'!G43</f>
        <v>Ya</v>
      </c>
      <c r="H44" s="22" t="str">
        <f>'01B_Findings_ID'!C43</f>
        <v>Semua agent</v>
      </c>
      <c r="I44" s="23" t="str">
        <f>'01B_Findings_ID'!H43</f>
        <v>Kata 'illustrative' terekspos di dalam payload</v>
      </c>
    </row>
    <row r="45" spans="5:9" ht="15" customHeight="1" x14ac:dyDescent="0.35">
      <c r="E45" s="21" t="str">
        <f>'01B_Findings_ID'!A44</f>
        <v>QC-040</v>
      </c>
      <c r="F45" s="22" t="str">
        <f>'01B_Findings_ID'!F44</f>
        <v>Sedang</v>
      </c>
      <c r="G45" s="22" t="str">
        <f>'01B_Findings_ID'!G44</f>
        <v>Ya</v>
      </c>
      <c r="H45" s="22" t="str">
        <f>'01B_Findings_ID'!C44</f>
        <v>Treasury</v>
      </c>
      <c r="I45" s="23" t="str">
        <f>'01B_Findings_ID'!H44</f>
        <v>Belum jelas apakah keterlambatan pelanggan sudah masuk ke dalam forecast</v>
      </c>
    </row>
    <row r="46" spans="5:9" ht="15" customHeight="1" x14ac:dyDescent="0.35">
      <c r="E46" s="21" t="str">
        <f>'01B_Findings_ID'!A45</f>
        <v>QC-041</v>
      </c>
      <c r="F46" s="22" t="str">
        <f>'01B_Findings_ID'!F45</f>
        <v>Sedang</v>
      </c>
      <c r="G46" s="22" t="str">
        <f>'01B_Findings_ID'!G45</f>
        <v>Tidak</v>
      </c>
      <c r="H46" s="22" t="str">
        <f>'01B_Findings_ID'!C45</f>
        <v>Treasury</v>
      </c>
      <c r="I46" s="23" t="str">
        <f>'01B_Findings_ID'!H45</f>
        <v>Judul alert menyebut Minggu 5 tetapi datanya Minggu 6</v>
      </c>
    </row>
    <row r="47" spans="5:9" ht="15" customHeight="1" x14ac:dyDescent="0.35">
      <c r="E47" s="21" t="str">
        <f>'01B_Findings_ID'!A46</f>
        <v>QC-042</v>
      </c>
      <c r="F47" s="22" t="str">
        <f>'01B_Findings_ID'!F46</f>
        <v>Sedang</v>
      </c>
      <c r="G47" s="22" t="str">
        <f>'01B_Findings_ID'!G46</f>
        <v>Ya</v>
      </c>
      <c r="H47" s="22" t="str">
        <f>'01B_Findings_ID'!C46</f>
        <v>Semua agent</v>
      </c>
      <c r="I47" s="23" t="str">
        <f>'01B_Findings_ID'!H46</f>
        <v>Starter prompt tidak menampilkan bagian terkuat dari cerita</v>
      </c>
    </row>
    <row r="48" spans="5:9" ht="15" customHeight="1" x14ac:dyDescent="0.35">
      <c r="E48" s="21" t="str">
        <f>'01B_Findings_ID'!A47</f>
        <v>QC-043</v>
      </c>
      <c r="F48" s="22" t="str">
        <f>'01B_Findings_ID'!F47</f>
        <v>Tinggi</v>
      </c>
      <c r="G48" s="22" t="str">
        <f>'01B_Findings_ID'!G47</f>
        <v>Ya</v>
      </c>
      <c r="H48" s="22" t="str">
        <f>'01B_Findings_ID'!C47</f>
        <v>Semua agent</v>
      </c>
      <c r="I48" s="23" t="str">
        <f>'01B_Findings_ID'!H47</f>
        <v>Aplikasi sama sekali tidak punya filter</v>
      </c>
    </row>
    <row r="49" spans="5:9" ht="15" customHeight="1" x14ac:dyDescent="0.35">
      <c r="E49" s="21" t="str">
        <f>'01B_Findings_ID'!A48</f>
        <v>QC-044</v>
      </c>
      <c r="F49" s="22" t="str">
        <f>'01B_Findings_ID'!F48</f>
        <v>Tinggi</v>
      </c>
      <c r="G49" s="22" t="str">
        <f>'01B_Findings_ID'!G48</f>
        <v>Ya</v>
      </c>
      <c r="H49" s="22" t="str">
        <f>'01B_Findings_ID'!C48</f>
        <v>Semua agent</v>
      </c>
      <c r="I49" s="23" t="str">
        <f>'01B_Findings_ID'!H48</f>
        <v>Volume data jauh di bawah permintaan klien</v>
      </c>
    </row>
    <row r="50" spans="5:9" ht="15" customHeight="1" x14ac:dyDescent="0.35">
      <c r="E50" s="21" t="str">
        <f>'01B_Findings_ID'!A49</f>
        <v>QC-045</v>
      </c>
      <c r="F50" s="22" t="str">
        <f>'01B_Findings_ID'!F49</f>
        <v>Tinggi</v>
      </c>
      <c r="G50" s="22" t="str">
        <f>'01B_Findings_ID'!G49</f>
        <v>Ya</v>
      </c>
      <c r="H50" s="22" t="str">
        <f>'01B_Findings_ID'!C49</f>
        <v>Semua agent</v>
      </c>
      <c r="I50" s="23" t="str">
        <f>'01B_Findings_ID'!H49</f>
        <v>Perilaku interaktif tidak bisa diverifikasi dari luar</v>
      </c>
    </row>
    <row r="51" spans="5:9" ht="15" customHeight="1" x14ac:dyDescent="0.35">
      <c r="E51" s="21" t="str">
        <f>'01B_Findings_ID'!A50</f>
        <v>QC-046</v>
      </c>
      <c r="F51" s="22" t="str">
        <f>'01B_Findings_ID'!F50</f>
        <v>Sedang</v>
      </c>
      <c r="G51" s="22" t="str">
        <f>'01B_Findings_ID'!G50</f>
        <v>Tidak</v>
      </c>
      <c r="H51" s="22" t="str">
        <f>'01B_Findings_ID'!C50</f>
        <v>Leakage</v>
      </c>
      <c r="I51" s="23" t="str">
        <f>'01B_Findings_ID'!H50</f>
        <v>Skor risiko vendor mengabaikan nilai dan tingkat keparahan</v>
      </c>
    </row>
    <row r="52" spans="5:9" ht="15" customHeight="1" x14ac:dyDescent="0.35">
      <c r="E52" s="21" t="str">
        <f>'01B_Findings_ID'!A51</f>
        <v>QC-047</v>
      </c>
      <c r="F52" s="22" t="str">
        <f>'01B_Findings_ID'!F51</f>
        <v>Tinggi</v>
      </c>
      <c r="G52" s="22" t="str">
        <f>'01B_Findings_ID'!G51</f>
        <v>Ya</v>
      </c>
      <c r="H52" s="22" t="str">
        <f>'01B_Findings_ID'!C51</f>
        <v>Collection + Treasury</v>
      </c>
      <c r="I52" s="23" t="str">
        <f>'01B_Findings_ID'!H51</f>
        <v>Tuas penagihan Treasury tidak terhubung ke buku Collection</v>
      </c>
    </row>
    <row r="53" spans="5:9" ht="15" customHeight="1" x14ac:dyDescent="0.35">
      <c r="E53" s="26" t="str">
        <f>'01B_Findings_ID'!A52</f>
        <v>QC-048</v>
      </c>
      <c r="F53" s="22" t="str">
        <f>'01B_Findings_ID'!F52</f>
        <v>Sedang</v>
      </c>
      <c r="G53" s="22" t="str">
        <f>'01B_Findings_ID'!G52</f>
        <v>Tidak</v>
      </c>
      <c r="H53" s="22" t="str">
        <f>'01B_Findings_ID'!C52</f>
        <v>Semua agent</v>
      </c>
      <c r="I53" s="23" t="str">
        <f>'01B_Findings_ID'!H52</f>
        <v>Mockup dan aplikasi yang di-deploy menyebut angka berbeda</v>
      </c>
    </row>
    <row r="54" spans="5:9" ht="15" customHeight="1" x14ac:dyDescent="0.35">
      <c r="E54" s="26" t="str">
        <f>'01B_Findings_ID'!A53</f>
        <v>QC-049</v>
      </c>
      <c r="F54" s="22" t="str">
        <f>'01B_Findings_ID'!F53</f>
        <v>Kritis</v>
      </c>
      <c r="G54" s="22" t="str">
        <f>'01B_Findings_ID'!G53</f>
        <v>Ya</v>
      </c>
      <c r="H54" s="22" t="str">
        <f>'01B_Findings_ID'!C53</f>
        <v>Semua agent</v>
      </c>
      <c r="I54" s="23" t="str">
        <f>'01B_Findings_ID'!H53</f>
        <v>Tidak ada panel penjelasan rumus di mana pun pada aplikasi &gt;&gt; Reasoning</v>
      </c>
    </row>
    <row r="55" spans="5:9" ht="15" customHeight="1" x14ac:dyDescent="0.35">
      <c r="E55" s="26" t="str">
        <f>'01B_Findings_ID'!A54</f>
        <v>QC-050</v>
      </c>
      <c r="F55" s="22" t="str">
        <f>'01B_Findings_ID'!F54</f>
        <v>Kritis</v>
      </c>
      <c r="G55" s="22" t="str">
        <f>'01B_Findings_ID'!G54</f>
        <v>Ya</v>
      </c>
      <c r="H55" s="22" t="str">
        <f>'01B_Findings_ID'!C54</f>
        <v>Semua agent</v>
      </c>
      <c r="I55" s="23" t="str">
        <f>'01B_Findings_ID'!H54</f>
        <v>Tidak ada mode cerita terpandu</v>
      </c>
    </row>
    <row r="56" spans="5:9" ht="15" customHeight="1" x14ac:dyDescent="0.35">
      <c r="E56" s="26" t="str">
        <f>'01B_Findings_ID'!A55</f>
        <v>QC-051</v>
      </c>
      <c r="F56" s="22" t="str">
        <f>'01B_Findings_ID'!F55</f>
        <v>Tinggi</v>
      </c>
      <c r="G56" s="22" t="str">
        <f>'01B_Findings_ID'!G55</f>
        <v>Ya</v>
      </c>
      <c r="H56" s="22" t="str">
        <f>'01B_Findings_ID'!C55</f>
        <v>Semua agent</v>
      </c>
      <c r="I56" s="23" t="str">
        <f>'01B_Findings_ID'!H55</f>
        <v>Simulator tidak bisa menyimpan, memuat, atau membandingkan skenario</v>
      </c>
    </row>
    <row r="57" spans="5:9" ht="15" customHeight="1" x14ac:dyDescent="0.35">
      <c r="E57" s="26" t="str">
        <f>'01B_Findings_ID'!A56</f>
        <v>QC-052</v>
      </c>
      <c r="F57" s="22" t="str">
        <f>'01B_Findings_ID'!F56</f>
        <v>Tinggi</v>
      </c>
      <c r="G57" s="22" t="str">
        <f>'01B_Findings_ID'!G56</f>
        <v>Ya</v>
      </c>
      <c r="H57" s="22" t="str">
        <f>'01B_Findings_ID'!C56</f>
        <v>Semua agent</v>
      </c>
      <c r="I57" s="23" t="str">
        <f>'01B_Findings_ID'!H56</f>
        <v>Simulator tidak punya preset</v>
      </c>
    </row>
    <row r="58" spans="5:9" ht="15" customHeight="1" x14ac:dyDescent="0.35">
      <c r="E58" s="26" t="str">
        <f>'01B_Findings_ID'!A57</f>
        <v>QC-053</v>
      </c>
      <c r="F58" s="22" t="str">
        <f>'01B_Findings_ID'!F57</f>
        <v>Tinggi</v>
      </c>
      <c r="G58" s="22" t="str">
        <f>'01B_Findings_ID'!G57</f>
        <v>Tidak</v>
      </c>
      <c r="H58" s="22" t="str">
        <f>'01B_Findings_ID'!C57</f>
        <v>Semua agent</v>
      </c>
      <c r="I58" s="23" t="str">
        <f>'01B_Findings_ID'!H57</f>
        <v>Simulator tidak punya pemilih cakupan</v>
      </c>
    </row>
    <row r="59" spans="5:9" ht="15" customHeight="1" x14ac:dyDescent="0.35">
      <c r="E59" s="26" t="str">
        <f>'01B_Findings_ID'!A58</f>
        <v>QC-054</v>
      </c>
      <c r="F59" s="22" t="str">
        <f>'01B_Findings_ID'!F58</f>
        <v>Tinggi</v>
      </c>
      <c r="G59" s="22" t="str">
        <f>'01B_Findings_ID'!G58</f>
        <v>Ya</v>
      </c>
      <c r="H59" s="22" t="str">
        <f>'01B_Findings_ID'!C58</f>
        <v>Semua agent</v>
      </c>
      <c r="I59" s="23" t="str">
        <f>'01B_Findings_ID'!H58</f>
        <v>KPI tile tidak punya sparkline tren</v>
      </c>
    </row>
    <row r="60" spans="5:9" ht="15" customHeight="1" x14ac:dyDescent="0.35">
      <c r="E60" s="26" t="str">
        <f>'01B_Findings_ID'!A59</f>
        <v>QC-055</v>
      </c>
      <c r="F60" s="22" t="str">
        <f>'01B_Findings_ID'!F59</f>
        <v>Tinggi</v>
      </c>
      <c r="G60" s="22" t="str">
        <f>'01B_Findings_ID'!G59</f>
        <v>Ya</v>
      </c>
      <c r="H60" s="22" t="str">
        <f>'01B_Findings_ID'!C59</f>
        <v>Semua agent</v>
      </c>
      <c r="I60" s="23" t="str">
        <f>'01B_Findings_ID'!H59</f>
        <v>Agentic Action tidak membawa tingkat keyakinan</v>
      </c>
    </row>
    <row r="61" spans="5:9" ht="15" customHeight="1" x14ac:dyDescent="0.35">
      <c r="E61" s="26" t="str">
        <f>'01B_Findings_ID'!A60</f>
        <v>QC-056</v>
      </c>
      <c r="F61" s="22" t="str">
        <f>'01B_Findings_ID'!F60</f>
        <v>Tinggi</v>
      </c>
      <c r="G61" s="22" t="str">
        <f>'01B_Findings_ID'!G60</f>
        <v>Ya</v>
      </c>
      <c r="H61" s="22" t="str">
        <f>'01B_Findings_ID'!C60</f>
        <v>Semua agent</v>
      </c>
      <c r="I61" s="23" t="str">
        <f>'01B_Findings_ID'!H60</f>
        <v>Tidak ada tampilan rantai saat aksi dieksekusi</v>
      </c>
    </row>
    <row r="62" spans="5:9" ht="15" customHeight="1" x14ac:dyDescent="0.35">
      <c r="E62" s="26" t="str">
        <f>'01B_Findings_ID'!A61</f>
        <v>QC-057</v>
      </c>
      <c r="F62" s="22" t="str">
        <f>'01B_Findings_ID'!F61</f>
        <v>Tinggi</v>
      </c>
      <c r="G62" s="22" t="str">
        <f>'01B_Findings_ID'!G61</f>
        <v>Ya</v>
      </c>
      <c r="H62" s="22" t="str">
        <f>'01B_Findings_ID'!C61</f>
        <v>Semua agent</v>
      </c>
      <c r="I62" s="23" t="str">
        <f>'01B_Findings_ID'!H61</f>
        <v>Tidak ada umpan notifikasi status</v>
      </c>
    </row>
    <row r="63" spans="5:9" ht="15" customHeight="1" x14ac:dyDescent="0.35">
      <c r="E63" s="26" t="str">
        <f>'01B_Findings_ID'!A62</f>
        <v>QC-058</v>
      </c>
      <c r="F63" s="22" t="str">
        <f>'01B_Findings_ID'!F62</f>
        <v>Tinggi</v>
      </c>
      <c r="G63" s="22" t="str">
        <f>'01B_Findings_ID'!G62</f>
        <v>Ya</v>
      </c>
      <c r="H63" s="22" t="str">
        <f>'01B_Findings_ID'!C62</f>
        <v>Semua agent</v>
      </c>
      <c r="I63" s="23" t="str">
        <f>'01B_Findings_ID'!H62</f>
        <v>Tidak ada pengalih Bahasa Indonesia</v>
      </c>
    </row>
    <row r="64" spans="5:9" ht="15" customHeight="1" x14ac:dyDescent="0.35">
      <c r="E64" s="26" t="str">
        <f>'01B_Findings_ID'!A63</f>
        <v>QC-059</v>
      </c>
      <c r="F64" s="22" t="str">
        <f>'01B_Findings_ID'!F63</f>
        <v>Tinggi</v>
      </c>
      <c r="G64" s="22" t="str">
        <f>'01B_Findings_ID'!G63</f>
        <v>Ya</v>
      </c>
      <c r="H64" s="22" t="str">
        <f>'01B_Findings_ID'!C63</f>
        <v>Semua agent</v>
      </c>
      <c r="I64" s="23" t="str">
        <f>'01B_Findings_ID'!H63</f>
        <v>Tidak ada tombol kembali ke kondisi awal</v>
      </c>
    </row>
    <row r="65" spans="5:9" ht="15" customHeight="1" x14ac:dyDescent="0.35">
      <c r="E65" s="26" t="str">
        <f>'01B_Findings_ID'!A64</f>
        <v>QC-060</v>
      </c>
      <c r="F65" s="22" t="str">
        <f>'01B_Findings_ID'!F64</f>
        <v>Sedang</v>
      </c>
      <c r="G65" s="22" t="str">
        <f>'01B_Findings_ID'!G64</f>
        <v>Tidak</v>
      </c>
      <c r="H65" s="22" t="str">
        <f>'01B_Findings_ID'!C64</f>
        <v>Semua agent</v>
      </c>
      <c r="I65" s="23" t="str">
        <f>'01B_Findings_ID'!H64</f>
        <v>Tidak ada alur hitung dengan parameter sendiri</v>
      </c>
    </row>
    <row r="66" spans="5:9" ht="15" customHeight="1" x14ac:dyDescent="0.35">
      <c r="E66" s="26" t="str">
        <f>'01B_Findings_ID'!A65</f>
        <v>QC-061</v>
      </c>
      <c r="F66" s="22" t="str">
        <f>'01B_Findings_ID'!F65</f>
        <v>Sedang</v>
      </c>
      <c r="G66" s="22" t="str">
        <f>'01B_Findings_ID'!G65</f>
        <v>Tidak</v>
      </c>
      <c r="H66" s="22" t="str">
        <f>'01B_Findings_ID'!C65</f>
        <v>Semua agent</v>
      </c>
      <c r="I66" s="23" t="str">
        <f>'01B_Findings_ID'!H65</f>
        <v>Kartu next best action tidak ada di dashboard</v>
      </c>
    </row>
    <row r="67" spans="5:9" ht="15" customHeight="1" x14ac:dyDescent="0.35">
      <c r="E67" s="26" t="str">
        <f>'01B_Findings_ID'!A66</f>
        <v>QC-062</v>
      </c>
      <c r="F67" s="22" t="str">
        <f>'01B_Findings_ID'!F66</f>
        <v>Sedang</v>
      </c>
      <c r="G67" s="22" t="str">
        <f>'01B_Findings_ID'!G66</f>
        <v>Tidak</v>
      </c>
      <c r="H67" s="22" t="str">
        <f>'01B_Findings_ID'!C66</f>
        <v>Semua agent</v>
      </c>
      <c r="I67" s="23" t="str">
        <f>'01B_Findings_ID'!H66</f>
        <v>Belum bisa dipastikan apakah chat bisa menampilkan grafik dan tabel</v>
      </c>
    </row>
  </sheetData>
  <mergeCells count="7">
    <mergeCell ref="A30:C30"/>
    <mergeCell ref="A31:C31"/>
    <mergeCell ref="A1:I1"/>
    <mergeCell ref="A2:I2"/>
    <mergeCell ref="B24:C24"/>
    <mergeCell ref="B25:C25"/>
    <mergeCell ref="B26:C26"/>
  </mergeCells>
  <conditionalFormatting sqref="F6:F52">
    <cfRule type="cellIs" dxfId="38" priority="2" operator="equal">
      <formula>"Kritis"</formula>
    </cfRule>
    <cfRule type="cellIs" dxfId="37" priority="3" operator="equal">
      <formula>"Tinggi"</formula>
    </cfRule>
    <cfRule type="cellIs" dxfId="36" priority="4" operator="equal">
      <formula>"Sedang"</formula>
    </cfRule>
  </conditionalFormatting>
  <conditionalFormatting sqref="G6:G52">
    <cfRule type="cellIs" dxfId="35" priority="5" operator="equal">
      <formula>"Ya"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errorTitle="Nomor tidak dikenal" error="Gunakan format QC-001 sampai QC-047." xr:uid="{00000000-0002-0000-0100-000000000000}">
          <x14:formula1>
            <xm:f>'01_Findings'!$A$5:$A$66</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7"/>
  <sheetViews>
    <sheetView showGridLines="0" zoomScaleNormal="100" workbookViewId="0"/>
  </sheetViews>
  <sheetFormatPr defaultColWidth="8.7265625" defaultRowHeight="14.5" x14ac:dyDescent="0.35"/>
  <cols>
    <col min="1" max="1" width="122" customWidth="1"/>
  </cols>
  <sheetData>
    <row r="1" spans="1:1" ht="18" customHeight="1" x14ac:dyDescent="0.4">
      <c r="A1" s="1" t="s">
        <v>75</v>
      </c>
    </row>
    <row r="2" spans="1:1" ht="15" customHeight="1" x14ac:dyDescent="0.35">
      <c r="A2" s="2" t="s">
        <v>76</v>
      </c>
    </row>
    <row r="3" spans="1:1" ht="15" customHeight="1" x14ac:dyDescent="0.35">
      <c r="A3" s="4"/>
    </row>
    <row r="4" spans="1:1" ht="15" customHeight="1" x14ac:dyDescent="0.35">
      <c r="A4" s="3" t="s">
        <v>77</v>
      </c>
    </row>
    <row r="5" spans="1:1" ht="15" customHeight="1" x14ac:dyDescent="0.35">
      <c r="A5" s="4" t="s">
        <v>78</v>
      </c>
    </row>
    <row r="6" spans="1:1" ht="15" customHeight="1" x14ac:dyDescent="0.35">
      <c r="A6" s="4" t="s">
        <v>79</v>
      </c>
    </row>
    <row r="7" spans="1:1" ht="15" customHeight="1" x14ac:dyDescent="0.35">
      <c r="A7" s="4" t="s">
        <v>80</v>
      </c>
    </row>
    <row r="8" spans="1:1" ht="15" customHeight="1" x14ac:dyDescent="0.35">
      <c r="A8" s="4"/>
    </row>
    <row r="9" spans="1:1" ht="15" customHeight="1" x14ac:dyDescent="0.35">
      <c r="A9" s="3" t="s">
        <v>81</v>
      </c>
    </row>
    <row r="10" spans="1:1" ht="15" customHeight="1" x14ac:dyDescent="0.35">
      <c r="A10" s="4" t="s">
        <v>82</v>
      </c>
    </row>
    <row r="11" spans="1:1" ht="15" customHeight="1" x14ac:dyDescent="0.35">
      <c r="A11" s="4" t="s">
        <v>83</v>
      </c>
    </row>
    <row r="12" spans="1:1" ht="15" customHeight="1" x14ac:dyDescent="0.35">
      <c r="A12" s="4" t="s">
        <v>84</v>
      </c>
    </row>
    <row r="13" spans="1:1" ht="15" customHeight="1" x14ac:dyDescent="0.35">
      <c r="A13" s="4" t="s">
        <v>85</v>
      </c>
    </row>
    <row r="14" spans="1:1" ht="15" customHeight="1" x14ac:dyDescent="0.35">
      <c r="A14" s="4" t="s">
        <v>86</v>
      </c>
    </row>
    <row r="15" spans="1:1" ht="15" customHeight="1" x14ac:dyDescent="0.35">
      <c r="A15" s="4"/>
    </row>
    <row r="16" spans="1:1" ht="15" customHeight="1" x14ac:dyDescent="0.35">
      <c r="A16" s="3" t="s">
        <v>87</v>
      </c>
    </row>
    <row r="17" spans="1:1" ht="15" customHeight="1" x14ac:dyDescent="0.35">
      <c r="A17" s="4" t="s">
        <v>88</v>
      </c>
    </row>
    <row r="18" spans="1:1" ht="15" customHeight="1" x14ac:dyDescent="0.35">
      <c r="A18" s="4" t="s">
        <v>89</v>
      </c>
    </row>
    <row r="19" spans="1:1" ht="15" customHeight="1" x14ac:dyDescent="0.35">
      <c r="A19" s="4" t="s">
        <v>90</v>
      </c>
    </row>
    <row r="20" spans="1:1" ht="15" customHeight="1" x14ac:dyDescent="0.35">
      <c r="A20" s="4" t="s">
        <v>91</v>
      </c>
    </row>
    <row r="21" spans="1:1" ht="15" customHeight="1" x14ac:dyDescent="0.35">
      <c r="A21" s="4"/>
    </row>
    <row r="22" spans="1:1" ht="15" customHeight="1" x14ac:dyDescent="0.35">
      <c r="A22" s="3" t="s">
        <v>92</v>
      </c>
    </row>
    <row r="23" spans="1:1" ht="15" customHeight="1" x14ac:dyDescent="0.35">
      <c r="A23" s="4" t="s">
        <v>93</v>
      </c>
    </row>
    <row r="24" spans="1:1" ht="15" customHeight="1" x14ac:dyDescent="0.35">
      <c r="A24" s="4" t="s">
        <v>94</v>
      </c>
    </row>
    <row r="25" spans="1:1" ht="15" customHeight="1" x14ac:dyDescent="0.35">
      <c r="A25" s="4" t="s">
        <v>95</v>
      </c>
    </row>
    <row r="26" spans="1:1" ht="15" customHeight="1" x14ac:dyDescent="0.35">
      <c r="A26" s="4" t="s">
        <v>96</v>
      </c>
    </row>
    <row r="27" spans="1:1" ht="15" customHeight="1" x14ac:dyDescent="0.35">
      <c r="A27" s="4"/>
    </row>
    <row r="28" spans="1:1" ht="15" customHeight="1" x14ac:dyDescent="0.35">
      <c r="A28" s="4" t="s">
        <v>97</v>
      </c>
    </row>
    <row r="29" spans="1:1" ht="15" customHeight="1" x14ac:dyDescent="0.35">
      <c r="A29" s="4" t="s">
        <v>98</v>
      </c>
    </row>
    <row r="30" spans="1:1" ht="15" customHeight="1" x14ac:dyDescent="0.35">
      <c r="A30" s="4" t="s">
        <v>99</v>
      </c>
    </row>
    <row r="31" spans="1:1" ht="15" customHeight="1" x14ac:dyDescent="0.35">
      <c r="A31" s="4" t="s">
        <v>100</v>
      </c>
    </row>
    <row r="32" spans="1:1" ht="15" customHeight="1" x14ac:dyDescent="0.35">
      <c r="A32" s="4"/>
    </row>
    <row r="33" spans="1:1" ht="15" customHeight="1" x14ac:dyDescent="0.35">
      <c r="A33" s="4" t="s">
        <v>101</v>
      </c>
    </row>
    <row r="34" spans="1:1" ht="15" customHeight="1" x14ac:dyDescent="0.35">
      <c r="A34" s="4" t="s">
        <v>102</v>
      </c>
    </row>
    <row r="35" spans="1:1" ht="15" customHeight="1" x14ac:dyDescent="0.35">
      <c r="A35" s="4" t="s">
        <v>103</v>
      </c>
    </row>
    <row r="36" spans="1:1" ht="15" customHeight="1" x14ac:dyDescent="0.35">
      <c r="A36" s="4" t="s">
        <v>104</v>
      </c>
    </row>
    <row r="37" spans="1:1" ht="15" customHeight="1" x14ac:dyDescent="0.35">
      <c r="A37" s="4" t="s">
        <v>105</v>
      </c>
    </row>
    <row r="38" spans="1:1" ht="15" customHeight="1" x14ac:dyDescent="0.35">
      <c r="A38" s="4"/>
    </row>
    <row r="39" spans="1:1" ht="15" customHeight="1" x14ac:dyDescent="0.35">
      <c r="A39" s="3" t="s">
        <v>106</v>
      </c>
    </row>
    <row r="40" spans="1:1" ht="15" customHeight="1" x14ac:dyDescent="0.35">
      <c r="A40" s="4" t="s">
        <v>107</v>
      </c>
    </row>
    <row r="41" spans="1:1" ht="15" customHeight="1" x14ac:dyDescent="0.35">
      <c r="A41" s="4" t="s">
        <v>108</v>
      </c>
    </row>
    <row r="42" spans="1:1" ht="15" customHeight="1" x14ac:dyDescent="0.35">
      <c r="A42" s="4" t="s">
        <v>109</v>
      </c>
    </row>
    <row r="43" spans="1:1" ht="15" customHeight="1" x14ac:dyDescent="0.35">
      <c r="A43" s="4" t="s">
        <v>110</v>
      </c>
    </row>
    <row r="44" spans="1:1" ht="15" customHeight="1" x14ac:dyDescent="0.35">
      <c r="A44" s="4"/>
    </row>
    <row r="45" spans="1:1" ht="15" customHeight="1" x14ac:dyDescent="0.35">
      <c r="A45" s="3" t="s">
        <v>111</v>
      </c>
    </row>
    <row r="46" spans="1:1" ht="15" customHeight="1" x14ac:dyDescent="0.35">
      <c r="A46" s="4" t="s">
        <v>112</v>
      </c>
    </row>
    <row r="47" spans="1:1" ht="15" customHeight="1" x14ac:dyDescent="0.35">
      <c r="A47" s="4" t="s">
        <v>113</v>
      </c>
    </row>
    <row r="48" spans="1:1" ht="15" customHeight="1" x14ac:dyDescent="0.35">
      <c r="A48" s="4" t="s">
        <v>114</v>
      </c>
    </row>
    <row r="49" spans="1:1" ht="15" customHeight="1" x14ac:dyDescent="0.35">
      <c r="A49" s="4" t="s">
        <v>115</v>
      </c>
    </row>
    <row r="50" spans="1:1" ht="15" customHeight="1" x14ac:dyDescent="0.35">
      <c r="A50" s="4" t="s">
        <v>116</v>
      </c>
    </row>
    <row r="51" spans="1:1" ht="15" customHeight="1" x14ac:dyDescent="0.35">
      <c r="A51" s="4"/>
    </row>
    <row r="52" spans="1:1" ht="15" customHeight="1" x14ac:dyDescent="0.35">
      <c r="A52" s="3" t="s">
        <v>117</v>
      </c>
    </row>
    <row r="53" spans="1:1" ht="15" customHeight="1" x14ac:dyDescent="0.35">
      <c r="A53" s="4" t="s">
        <v>118</v>
      </c>
    </row>
    <row r="54" spans="1:1" ht="15" customHeight="1" x14ac:dyDescent="0.35">
      <c r="A54" s="4" t="s">
        <v>119</v>
      </c>
    </row>
    <row r="55" spans="1:1" ht="15" customHeight="1" x14ac:dyDescent="0.35">
      <c r="A55" s="4" t="s">
        <v>120</v>
      </c>
    </row>
    <row r="56" spans="1:1" ht="15" customHeight="1" x14ac:dyDescent="0.35">
      <c r="A56" s="4" t="s">
        <v>121</v>
      </c>
    </row>
    <row r="57" spans="1:1" ht="15" customHeight="1" x14ac:dyDescent="0.35">
      <c r="A57" s="4" t="s">
        <v>122</v>
      </c>
    </row>
    <row r="58" spans="1:1" ht="15" customHeight="1" x14ac:dyDescent="0.35">
      <c r="A58" s="4" t="s">
        <v>123</v>
      </c>
    </row>
    <row r="59" spans="1:1" ht="15" customHeight="1" x14ac:dyDescent="0.35">
      <c r="A59" s="4" t="s">
        <v>124</v>
      </c>
    </row>
    <row r="60" spans="1:1" ht="15" customHeight="1" x14ac:dyDescent="0.35">
      <c r="A60" s="4"/>
    </row>
    <row r="61" spans="1:1" ht="15" customHeight="1" x14ac:dyDescent="0.35">
      <c r="A61" s="3" t="s">
        <v>125</v>
      </c>
    </row>
    <row r="62" spans="1:1" ht="15" customHeight="1" x14ac:dyDescent="0.35">
      <c r="A62" s="4" t="s">
        <v>126</v>
      </c>
    </row>
    <row r="63" spans="1:1" ht="15" customHeight="1" x14ac:dyDescent="0.35">
      <c r="A63" s="4" t="s">
        <v>127</v>
      </c>
    </row>
    <row r="64" spans="1:1" ht="15" customHeight="1" x14ac:dyDescent="0.35">
      <c r="A64" s="4" t="s">
        <v>128</v>
      </c>
    </row>
    <row r="65" spans="1:1" ht="15" customHeight="1" x14ac:dyDescent="0.35">
      <c r="A65" s="4" t="s">
        <v>129</v>
      </c>
    </row>
    <row r="66" spans="1:1" ht="15" customHeight="1" x14ac:dyDescent="0.35">
      <c r="A66" s="4" t="s">
        <v>130</v>
      </c>
    </row>
    <row r="67" spans="1:1" ht="15" customHeight="1" x14ac:dyDescent="0.35">
      <c r="A67" s="4" t="s">
        <v>131</v>
      </c>
    </row>
    <row r="68" spans="1:1" ht="15" customHeight="1" x14ac:dyDescent="0.35">
      <c r="A68" s="4" t="s">
        <v>132</v>
      </c>
    </row>
    <row r="69" spans="1:1" ht="15" customHeight="1" x14ac:dyDescent="0.35">
      <c r="A69" s="4" t="s">
        <v>133</v>
      </c>
    </row>
    <row r="70" spans="1:1" ht="15" customHeight="1" x14ac:dyDescent="0.35">
      <c r="A70" s="4" t="s">
        <v>134</v>
      </c>
    </row>
    <row r="71" spans="1:1" ht="15" customHeight="1" x14ac:dyDescent="0.35">
      <c r="A71" s="4" t="s">
        <v>135</v>
      </c>
    </row>
    <row r="72" spans="1:1" ht="15" customHeight="1" x14ac:dyDescent="0.35">
      <c r="A72" s="4" t="s">
        <v>136</v>
      </c>
    </row>
    <row r="73" spans="1:1" ht="15" customHeight="1" x14ac:dyDescent="0.35">
      <c r="A73" s="4"/>
    </row>
    <row r="74" spans="1:1" ht="15" customHeight="1" x14ac:dyDescent="0.35">
      <c r="A74" s="3" t="s">
        <v>137</v>
      </c>
    </row>
    <row r="75" spans="1:1" ht="15" customHeight="1" x14ac:dyDescent="0.35">
      <c r="A75" s="4" t="s">
        <v>138</v>
      </c>
    </row>
    <row r="76" spans="1:1" ht="15" customHeight="1" x14ac:dyDescent="0.35">
      <c r="A76" s="4" t="s">
        <v>139</v>
      </c>
    </row>
    <row r="77" spans="1:1" ht="15" customHeight="1" x14ac:dyDescent="0.35">
      <c r="A77" s="4" t="s">
        <v>140</v>
      </c>
    </row>
    <row r="78" spans="1:1" ht="15" customHeight="1" x14ac:dyDescent="0.35">
      <c r="A78" s="4" t="s">
        <v>141</v>
      </c>
    </row>
    <row r="79" spans="1:1" ht="15" customHeight="1" x14ac:dyDescent="0.35">
      <c r="A79" s="4" t="s">
        <v>142</v>
      </c>
    </row>
    <row r="80" spans="1:1" ht="15" customHeight="1" x14ac:dyDescent="0.35">
      <c r="A80" s="4" t="s">
        <v>143</v>
      </c>
    </row>
    <row r="81" spans="1:1" ht="15" customHeight="1" x14ac:dyDescent="0.35">
      <c r="A81" s="4" t="s">
        <v>144</v>
      </c>
    </row>
    <row r="82" spans="1:1" ht="15" customHeight="1" x14ac:dyDescent="0.35">
      <c r="A82" s="4"/>
    </row>
    <row r="83" spans="1:1" ht="15" customHeight="1" x14ac:dyDescent="0.35">
      <c r="A83" s="3" t="s">
        <v>145</v>
      </c>
    </row>
    <row r="84" spans="1:1" ht="15" customHeight="1" x14ac:dyDescent="0.35">
      <c r="A84" s="4" t="s">
        <v>146</v>
      </c>
    </row>
    <row r="85" spans="1:1" ht="15" customHeight="1" x14ac:dyDescent="0.35">
      <c r="A85" s="4" t="s">
        <v>147</v>
      </c>
    </row>
    <row r="86" spans="1:1" ht="15" customHeight="1" x14ac:dyDescent="0.35">
      <c r="A86" s="4" t="s">
        <v>148</v>
      </c>
    </row>
    <row r="87" spans="1:1" ht="15" customHeight="1" x14ac:dyDescent="0.35">
      <c r="A87" s="4" t="s">
        <v>149</v>
      </c>
    </row>
    <row r="88" spans="1:1" ht="15" customHeight="1" x14ac:dyDescent="0.35">
      <c r="A88" s="4" t="s">
        <v>150</v>
      </c>
    </row>
    <row r="89" spans="1:1" ht="15" customHeight="1" x14ac:dyDescent="0.35">
      <c r="A89" s="4" t="s">
        <v>151</v>
      </c>
    </row>
    <row r="90" spans="1:1" ht="15" customHeight="1" x14ac:dyDescent="0.35">
      <c r="A90" s="4" t="s">
        <v>152</v>
      </c>
    </row>
    <row r="91" spans="1:1" ht="15" customHeight="1" x14ac:dyDescent="0.35">
      <c r="A91" s="4" t="s">
        <v>153</v>
      </c>
    </row>
    <row r="92" spans="1:1" ht="15" customHeight="1" x14ac:dyDescent="0.35">
      <c r="A92" s="4"/>
    </row>
    <row r="93" spans="1:1" ht="15" customHeight="1" x14ac:dyDescent="0.35">
      <c r="A93" s="3" t="s">
        <v>154</v>
      </c>
    </row>
    <row r="94" spans="1:1" ht="15" customHeight="1" x14ac:dyDescent="0.35">
      <c r="A94" s="4" t="s">
        <v>155</v>
      </c>
    </row>
    <row r="95" spans="1:1" ht="15" customHeight="1" x14ac:dyDescent="0.35">
      <c r="A95" s="4" t="s">
        <v>156</v>
      </c>
    </row>
    <row r="96" spans="1:1" ht="15" customHeight="1" x14ac:dyDescent="0.35">
      <c r="A96" s="4" t="s">
        <v>157</v>
      </c>
    </row>
    <row r="97" spans="1:1" ht="15" customHeight="1" x14ac:dyDescent="0.35">
      <c r="A97" s="4" t="s">
        <v>158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6"/>
  <sheetViews>
    <sheetView showGridLines="0" zoomScaleNormal="100" workbookViewId="0">
      <pane xSplit="3" ySplit="4" topLeftCell="D59" activePane="bottomRight" state="frozen"/>
      <selection pane="topRight" activeCell="D1" sqref="D1"/>
      <selection pane="bottomLeft" activeCell="A5" sqref="A5"/>
      <selection pane="bottomRight" activeCell="H63" sqref="H63"/>
    </sheetView>
  </sheetViews>
  <sheetFormatPr defaultColWidth="8.7265625" defaultRowHeight="14.5" x14ac:dyDescent="0.35"/>
  <cols>
    <col min="1" max="1" width="9" customWidth="1"/>
    <col min="2" max="2" width="12" customWidth="1"/>
    <col min="3" max="3" width="18" customWidth="1"/>
    <col min="4" max="4" width="24" customWidth="1"/>
    <col min="5" max="5" width="12" customWidth="1"/>
    <col min="6" max="6" width="10" customWidth="1"/>
    <col min="7" max="7" width="11" customWidth="1"/>
    <col min="8" max="8" width="44" customWidth="1"/>
    <col min="9" max="9" width="72" customWidth="1"/>
    <col min="10" max="11" width="44" customWidth="1"/>
    <col min="12" max="12" width="20" customWidth="1"/>
    <col min="13" max="13" width="12" customWidth="1"/>
    <col min="14" max="14" width="13" customWidth="1"/>
    <col min="15" max="15" width="12" customWidth="1"/>
    <col min="16" max="16" width="13" customWidth="1"/>
    <col min="17" max="17" width="26" customWidth="1"/>
  </cols>
  <sheetData>
    <row r="1" spans="1:17" ht="18" customHeight="1" x14ac:dyDescent="0.4">
      <c r="A1" s="1" t="s">
        <v>159</v>
      </c>
    </row>
    <row r="2" spans="1:17" ht="15" customHeight="1" x14ac:dyDescent="0.35">
      <c r="A2" s="2" t="s">
        <v>160</v>
      </c>
    </row>
    <row r="4" spans="1:17" ht="23.25" customHeight="1" x14ac:dyDescent="0.35">
      <c r="A4" s="6" t="s">
        <v>161</v>
      </c>
      <c r="B4" s="6" t="s">
        <v>162</v>
      </c>
      <c r="C4" s="6" t="s">
        <v>16</v>
      </c>
      <c r="D4" s="6" t="s">
        <v>28</v>
      </c>
      <c r="E4" s="6" t="s">
        <v>163</v>
      </c>
      <c r="F4" s="6" t="s">
        <v>11</v>
      </c>
      <c r="G4" s="6" t="s">
        <v>164</v>
      </c>
      <c r="H4" s="6" t="s">
        <v>165</v>
      </c>
      <c r="I4" s="6" t="s">
        <v>166</v>
      </c>
      <c r="J4" s="6" t="s">
        <v>167</v>
      </c>
      <c r="K4" s="6" t="s">
        <v>168</v>
      </c>
      <c r="L4" s="6" t="s">
        <v>169</v>
      </c>
      <c r="M4" s="6" t="s">
        <v>170</v>
      </c>
      <c r="N4" s="6" t="s">
        <v>36</v>
      </c>
      <c r="O4" s="6" t="s">
        <v>171</v>
      </c>
      <c r="P4" s="6" t="s">
        <v>172</v>
      </c>
      <c r="Q4" s="6" t="s">
        <v>173</v>
      </c>
    </row>
    <row r="5" spans="1:17" ht="72" customHeight="1" x14ac:dyDescent="0.35">
      <c r="A5" s="5" t="s">
        <v>174</v>
      </c>
      <c r="B5" s="5" t="s">
        <v>175</v>
      </c>
      <c r="C5" s="5" t="s">
        <v>21</v>
      </c>
      <c r="D5" s="5" t="s">
        <v>29</v>
      </c>
      <c r="E5" s="5" t="s">
        <v>176</v>
      </c>
      <c r="F5" s="5" t="s">
        <v>6</v>
      </c>
      <c r="G5" s="5" t="s">
        <v>177</v>
      </c>
      <c r="H5" s="5" t="s">
        <v>178</v>
      </c>
      <c r="I5" s="5" t="s">
        <v>179</v>
      </c>
      <c r="J5" s="5" t="s">
        <v>180</v>
      </c>
      <c r="K5" s="5" t="s">
        <v>181</v>
      </c>
      <c r="L5" s="5" t="s">
        <v>182</v>
      </c>
      <c r="M5" s="5" t="s">
        <v>183</v>
      </c>
      <c r="N5" s="7" t="s">
        <v>14</v>
      </c>
      <c r="O5" s="7"/>
      <c r="P5" s="7"/>
      <c r="Q5" s="7"/>
    </row>
    <row r="6" spans="1:17" ht="72" customHeight="1" x14ac:dyDescent="0.35">
      <c r="A6" s="5" t="s">
        <v>184</v>
      </c>
      <c r="B6" s="5" t="s">
        <v>175</v>
      </c>
      <c r="C6" s="5" t="s">
        <v>24</v>
      </c>
      <c r="D6" s="5" t="s">
        <v>29</v>
      </c>
      <c r="E6" s="5" t="s">
        <v>185</v>
      </c>
      <c r="F6" s="5" t="s">
        <v>6</v>
      </c>
      <c r="G6" s="5" t="s">
        <v>177</v>
      </c>
      <c r="H6" s="5" t="s">
        <v>186</v>
      </c>
      <c r="I6" s="5" t="s">
        <v>187</v>
      </c>
      <c r="J6" s="5" t="s">
        <v>188</v>
      </c>
      <c r="K6" s="5" t="s">
        <v>189</v>
      </c>
      <c r="L6" s="5" t="s">
        <v>182</v>
      </c>
      <c r="M6" s="5" t="s">
        <v>183</v>
      </c>
      <c r="N6" s="7" t="s">
        <v>14</v>
      </c>
      <c r="O6" s="7"/>
      <c r="P6" s="7"/>
      <c r="Q6" s="7"/>
    </row>
    <row r="7" spans="1:17" ht="72" customHeight="1" x14ac:dyDescent="0.35">
      <c r="A7" s="5" t="s">
        <v>190</v>
      </c>
      <c r="B7" s="5" t="s">
        <v>175</v>
      </c>
      <c r="C7" s="5" t="s">
        <v>25</v>
      </c>
      <c r="D7" s="5" t="s">
        <v>29</v>
      </c>
      <c r="E7" s="5" t="s">
        <v>191</v>
      </c>
      <c r="F7" s="5" t="s">
        <v>6</v>
      </c>
      <c r="G7" s="5" t="s">
        <v>177</v>
      </c>
      <c r="H7" s="5" t="s">
        <v>192</v>
      </c>
      <c r="I7" s="5" t="s">
        <v>193</v>
      </c>
      <c r="J7" s="5" t="s">
        <v>194</v>
      </c>
      <c r="K7" s="5" t="s">
        <v>195</v>
      </c>
      <c r="L7" s="5" t="s">
        <v>182</v>
      </c>
      <c r="M7" s="5" t="s">
        <v>183</v>
      </c>
      <c r="N7" s="7" t="s">
        <v>14</v>
      </c>
      <c r="O7" s="7"/>
      <c r="P7" s="7"/>
      <c r="Q7" s="7"/>
    </row>
    <row r="8" spans="1:17" ht="72" customHeight="1" x14ac:dyDescent="0.35">
      <c r="A8" s="5" t="s">
        <v>196</v>
      </c>
      <c r="B8" s="5" t="s">
        <v>175</v>
      </c>
      <c r="C8" s="5" t="s">
        <v>23</v>
      </c>
      <c r="D8" s="5" t="s">
        <v>29</v>
      </c>
      <c r="E8" s="5" t="s">
        <v>191</v>
      </c>
      <c r="F8" s="5" t="s">
        <v>6</v>
      </c>
      <c r="G8" s="5" t="s">
        <v>177</v>
      </c>
      <c r="H8" s="5" t="s">
        <v>197</v>
      </c>
      <c r="I8" s="5" t="s">
        <v>198</v>
      </c>
      <c r="J8" s="5" t="s">
        <v>199</v>
      </c>
      <c r="K8" s="5" t="s">
        <v>200</v>
      </c>
      <c r="L8" s="5" t="s">
        <v>201</v>
      </c>
      <c r="M8" s="5" t="s">
        <v>183</v>
      </c>
      <c r="N8" s="7" t="s">
        <v>14</v>
      </c>
      <c r="O8" s="7"/>
      <c r="P8" s="7"/>
      <c r="Q8" s="7"/>
    </row>
    <row r="9" spans="1:17" ht="72" customHeight="1" x14ac:dyDescent="0.35">
      <c r="A9" s="5" t="s">
        <v>202</v>
      </c>
      <c r="B9" s="5" t="s">
        <v>175</v>
      </c>
      <c r="C9" s="5" t="s">
        <v>23</v>
      </c>
      <c r="D9" s="5" t="s">
        <v>29</v>
      </c>
      <c r="E9" s="5" t="s">
        <v>191</v>
      </c>
      <c r="F9" s="5" t="s">
        <v>6</v>
      </c>
      <c r="G9" s="5" t="s">
        <v>177</v>
      </c>
      <c r="H9" s="5" t="s">
        <v>203</v>
      </c>
      <c r="I9" s="5" t="s">
        <v>204</v>
      </c>
      <c r="J9" s="5" t="s">
        <v>205</v>
      </c>
      <c r="K9" s="5" t="s">
        <v>206</v>
      </c>
      <c r="L9" s="5" t="s">
        <v>201</v>
      </c>
      <c r="M9" s="5" t="s">
        <v>183</v>
      </c>
      <c r="N9" s="7" t="s">
        <v>14</v>
      </c>
      <c r="O9" s="7"/>
      <c r="P9" s="7"/>
      <c r="Q9" s="7"/>
    </row>
    <row r="10" spans="1:17" ht="72" customHeight="1" x14ac:dyDescent="0.35">
      <c r="A10" s="5" t="s">
        <v>207</v>
      </c>
      <c r="B10" s="5" t="s">
        <v>175</v>
      </c>
      <c r="C10" s="5" t="s">
        <v>24</v>
      </c>
      <c r="D10" s="5" t="s">
        <v>32</v>
      </c>
      <c r="E10" s="5" t="s">
        <v>208</v>
      </c>
      <c r="F10" s="5" t="s">
        <v>6</v>
      </c>
      <c r="G10" s="5" t="s">
        <v>177</v>
      </c>
      <c r="H10" s="5" t="s">
        <v>209</v>
      </c>
      <c r="I10" s="5" t="s">
        <v>210</v>
      </c>
      <c r="J10" s="5" t="s">
        <v>211</v>
      </c>
      <c r="K10" s="5" t="s">
        <v>212</v>
      </c>
      <c r="L10" s="5" t="s">
        <v>213</v>
      </c>
      <c r="M10" s="5" t="s">
        <v>183</v>
      </c>
      <c r="N10" s="7" t="s">
        <v>14</v>
      </c>
      <c r="O10" s="7"/>
      <c r="P10" s="7"/>
      <c r="Q10" s="7"/>
    </row>
    <row r="11" spans="1:17" ht="72" customHeight="1" x14ac:dyDescent="0.35">
      <c r="A11" s="5" t="s">
        <v>214</v>
      </c>
      <c r="B11" s="5" t="s">
        <v>175</v>
      </c>
      <c r="C11" s="5" t="s">
        <v>19</v>
      </c>
      <c r="D11" s="5" t="s">
        <v>29</v>
      </c>
      <c r="E11" s="5" t="s">
        <v>191</v>
      </c>
      <c r="F11" s="5" t="s">
        <v>18</v>
      </c>
      <c r="G11" s="5" t="s">
        <v>177</v>
      </c>
      <c r="H11" s="5" t="s">
        <v>215</v>
      </c>
      <c r="I11" s="5" t="s">
        <v>216</v>
      </c>
      <c r="J11" s="5" t="s">
        <v>217</v>
      </c>
      <c r="K11" s="5" t="s">
        <v>218</v>
      </c>
      <c r="L11" s="5" t="s">
        <v>201</v>
      </c>
      <c r="M11" s="5" t="s">
        <v>219</v>
      </c>
      <c r="N11" s="7" t="s">
        <v>14</v>
      </c>
      <c r="O11" s="7"/>
      <c r="P11" s="7"/>
      <c r="Q11" s="7"/>
    </row>
    <row r="12" spans="1:17" ht="72" customHeight="1" x14ac:dyDescent="0.35">
      <c r="A12" s="5" t="s">
        <v>220</v>
      </c>
      <c r="B12" s="5" t="s">
        <v>175</v>
      </c>
      <c r="C12" s="5" t="s">
        <v>19</v>
      </c>
      <c r="D12" s="5" t="s">
        <v>29</v>
      </c>
      <c r="E12" s="5" t="s">
        <v>221</v>
      </c>
      <c r="F12" s="5" t="s">
        <v>18</v>
      </c>
      <c r="G12" s="5" t="s">
        <v>177</v>
      </c>
      <c r="H12" s="5" t="s">
        <v>222</v>
      </c>
      <c r="I12" s="5" t="s">
        <v>223</v>
      </c>
      <c r="J12" s="5" t="s">
        <v>224</v>
      </c>
      <c r="K12" s="5" t="s">
        <v>225</v>
      </c>
      <c r="L12" s="5" t="s">
        <v>201</v>
      </c>
      <c r="M12" s="5" t="s">
        <v>219</v>
      </c>
      <c r="N12" s="7" t="s">
        <v>14</v>
      </c>
      <c r="O12" s="7"/>
      <c r="P12" s="7"/>
      <c r="Q12" s="7"/>
    </row>
    <row r="13" spans="1:17" ht="72" customHeight="1" x14ac:dyDescent="0.35">
      <c r="A13" s="5" t="s">
        <v>226</v>
      </c>
      <c r="B13" s="5" t="s">
        <v>175</v>
      </c>
      <c r="C13" s="5" t="s">
        <v>17</v>
      </c>
      <c r="D13" s="5" t="s">
        <v>29</v>
      </c>
      <c r="E13" s="5" t="s">
        <v>191</v>
      </c>
      <c r="F13" s="5" t="s">
        <v>18</v>
      </c>
      <c r="G13" s="5" t="s">
        <v>177</v>
      </c>
      <c r="H13" s="5" t="s">
        <v>227</v>
      </c>
      <c r="I13" s="5" t="s">
        <v>228</v>
      </c>
      <c r="J13" s="5" t="s">
        <v>229</v>
      </c>
      <c r="K13" s="5" t="s">
        <v>230</v>
      </c>
      <c r="L13" s="5" t="s">
        <v>201</v>
      </c>
      <c r="M13" s="5" t="s">
        <v>219</v>
      </c>
      <c r="N13" s="7" t="s">
        <v>14</v>
      </c>
      <c r="O13" s="7"/>
      <c r="P13" s="7"/>
      <c r="Q13" s="7"/>
    </row>
    <row r="14" spans="1:17" ht="72" customHeight="1" x14ac:dyDescent="0.35">
      <c r="A14" s="5" t="s">
        <v>231</v>
      </c>
      <c r="B14" s="5" t="s">
        <v>175</v>
      </c>
      <c r="C14" s="5" t="s">
        <v>17</v>
      </c>
      <c r="D14" s="5" t="s">
        <v>29</v>
      </c>
      <c r="E14" s="5" t="s">
        <v>191</v>
      </c>
      <c r="F14" s="5" t="s">
        <v>18</v>
      </c>
      <c r="G14" s="5" t="s">
        <v>177</v>
      </c>
      <c r="H14" s="5" t="s">
        <v>232</v>
      </c>
      <c r="I14" s="5" t="s">
        <v>233</v>
      </c>
      <c r="J14" s="5" t="s">
        <v>234</v>
      </c>
      <c r="K14" s="5" t="s">
        <v>235</v>
      </c>
      <c r="L14" s="5" t="s">
        <v>201</v>
      </c>
      <c r="M14" s="5" t="s">
        <v>219</v>
      </c>
      <c r="N14" s="7" t="s">
        <v>14</v>
      </c>
      <c r="O14" s="7"/>
      <c r="P14" s="7"/>
      <c r="Q14" s="7"/>
    </row>
    <row r="15" spans="1:17" ht="72" customHeight="1" x14ac:dyDescent="0.35">
      <c r="A15" s="5" t="s">
        <v>236</v>
      </c>
      <c r="B15" s="5" t="s">
        <v>175</v>
      </c>
      <c r="C15" s="5" t="s">
        <v>17</v>
      </c>
      <c r="D15" s="5" t="s">
        <v>29</v>
      </c>
      <c r="E15" s="5" t="s">
        <v>191</v>
      </c>
      <c r="F15" s="5" t="s">
        <v>18</v>
      </c>
      <c r="G15" s="5" t="s">
        <v>177</v>
      </c>
      <c r="H15" s="5" t="s">
        <v>237</v>
      </c>
      <c r="I15" s="5" t="s">
        <v>238</v>
      </c>
      <c r="J15" s="5" t="s">
        <v>239</v>
      </c>
      <c r="K15" s="5" t="s">
        <v>240</v>
      </c>
      <c r="L15" s="5" t="s">
        <v>201</v>
      </c>
      <c r="M15" s="5" t="s">
        <v>219</v>
      </c>
      <c r="N15" s="7" t="s">
        <v>14</v>
      </c>
      <c r="O15" s="7"/>
      <c r="P15" s="7"/>
      <c r="Q15" s="7"/>
    </row>
    <row r="16" spans="1:17" ht="72" customHeight="1" x14ac:dyDescent="0.35">
      <c r="A16" s="5" t="s">
        <v>241</v>
      </c>
      <c r="B16" s="5" t="s">
        <v>175</v>
      </c>
      <c r="C16" s="5" t="s">
        <v>17</v>
      </c>
      <c r="D16" s="5" t="s">
        <v>32</v>
      </c>
      <c r="E16" s="5" t="s">
        <v>208</v>
      </c>
      <c r="F16" s="5" t="s">
        <v>18</v>
      </c>
      <c r="G16" s="5" t="s">
        <v>242</v>
      </c>
      <c r="H16" s="5" t="s">
        <v>243</v>
      </c>
      <c r="I16" s="5" t="s">
        <v>244</v>
      </c>
      <c r="J16" s="5" t="s">
        <v>245</v>
      </c>
      <c r="K16" s="5" t="s">
        <v>246</v>
      </c>
      <c r="L16" s="5" t="s">
        <v>213</v>
      </c>
      <c r="M16" s="5" t="s">
        <v>219</v>
      </c>
      <c r="N16" s="7" t="s">
        <v>14</v>
      </c>
      <c r="O16" s="7"/>
      <c r="P16" s="7"/>
      <c r="Q16" s="7"/>
    </row>
    <row r="17" spans="1:17" ht="150" customHeight="1" x14ac:dyDescent="0.35">
      <c r="A17" s="5" t="s">
        <v>49</v>
      </c>
      <c r="B17" s="5" t="s">
        <v>175</v>
      </c>
      <c r="C17" s="5" t="s">
        <v>21</v>
      </c>
      <c r="D17" s="5" t="s">
        <v>29</v>
      </c>
      <c r="E17" s="5" t="s">
        <v>191</v>
      </c>
      <c r="F17" s="5" t="s">
        <v>20</v>
      </c>
      <c r="G17" s="5" t="s">
        <v>242</v>
      </c>
      <c r="H17" s="5" t="s">
        <v>247</v>
      </c>
      <c r="I17" s="5" t="s">
        <v>248</v>
      </c>
      <c r="J17" s="5" t="s">
        <v>249</v>
      </c>
      <c r="K17" s="5" t="s">
        <v>250</v>
      </c>
      <c r="L17" s="5" t="s">
        <v>201</v>
      </c>
      <c r="M17" s="5" t="s">
        <v>251</v>
      </c>
      <c r="N17" s="7" t="s">
        <v>14</v>
      </c>
      <c r="O17" s="7"/>
      <c r="P17" s="7"/>
      <c r="Q17" s="7" t="s">
        <v>252</v>
      </c>
    </row>
    <row r="18" spans="1:17" ht="72" customHeight="1" x14ac:dyDescent="0.35">
      <c r="A18" s="5" t="s">
        <v>253</v>
      </c>
      <c r="B18" s="5" t="s">
        <v>175</v>
      </c>
      <c r="C18" s="5" t="s">
        <v>21</v>
      </c>
      <c r="D18" s="5" t="s">
        <v>29</v>
      </c>
      <c r="E18" s="5" t="s">
        <v>191</v>
      </c>
      <c r="F18" s="5" t="s">
        <v>18</v>
      </c>
      <c r="G18" s="5" t="s">
        <v>177</v>
      </c>
      <c r="H18" s="5" t="s">
        <v>254</v>
      </c>
      <c r="I18" s="5" t="s">
        <v>255</v>
      </c>
      <c r="J18" s="5" t="s">
        <v>256</v>
      </c>
      <c r="K18" s="5" t="s">
        <v>257</v>
      </c>
      <c r="L18" s="5" t="s">
        <v>201</v>
      </c>
      <c r="M18" s="5" t="s">
        <v>219</v>
      </c>
      <c r="N18" s="7" t="s">
        <v>14</v>
      </c>
      <c r="O18" s="7"/>
      <c r="P18" s="7"/>
      <c r="Q18" s="7"/>
    </row>
    <row r="19" spans="1:17" ht="72" customHeight="1" x14ac:dyDescent="0.35">
      <c r="A19" s="5" t="s">
        <v>258</v>
      </c>
      <c r="B19" s="5" t="s">
        <v>175</v>
      </c>
      <c r="C19" s="5" t="s">
        <v>21</v>
      </c>
      <c r="D19" s="5" t="s">
        <v>29</v>
      </c>
      <c r="E19" s="5" t="s">
        <v>191</v>
      </c>
      <c r="F19" s="5" t="s">
        <v>18</v>
      </c>
      <c r="G19" s="5" t="s">
        <v>177</v>
      </c>
      <c r="H19" s="5" t="s">
        <v>259</v>
      </c>
      <c r="I19" s="5" t="s">
        <v>260</v>
      </c>
      <c r="J19" s="5" t="s">
        <v>261</v>
      </c>
      <c r="K19" s="5" t="s">
        <v>262</v>
      </c>
      <c r="L19" s="5" t="s">
        <v>201</v>
      </c>
      <c r="M19" s="5" t="s">
        <v>219</v>
      </c>
      <c r="N19" s="7" t="s">
        <v>14</v>
      </c>
      <c r="O19" s="7"/>
      <c r="P19" s="7"/>
      <c r="Q19" s="7"/>
    </row>
    <row r="20" spans="1:17" ht="72" customHeight="1" x14ac:dyDescent="0.35">
      <c r="A20" s="5" t="s">
        <v>263</v>
      </c>
      <c r="B20" s="5" t="s">
        <v>175</v>
      </c>
      <c r="C20" s="5" t="s">
        <v>19</v>
      </c>
      <c r="D20" s="5" t="s">
        <v>29</v>
      </c>
      <c r="E20" s="5" t="s">
        <v>191</v>
      </c>
      <c r="F20" s="5" t="s">
        <v>18</v>
      </c>
      <c r="G20" s="5" t="s">
        <v>177</v>
      </c>
      <c r="H20" s="5" t="s">
        <v>264</v>
      </c>
      <c r="I20" s="5" t="s">
        <v>265</v>
      </c>
      <c r="J20" s="5" t="s">
        <v>266</v>
      </c>
      <c r="K20" s="5" t="s">
        <v>267</v>
      </c>
      <c r="L20" s="5" t="s">
        <v>201</v>
      </c>
      <c r="M20" s="5" t="s">
        <v>219</v>
      </c>
      <c r="N20" s="7" t="s">
        <v>14</v>
      </c>
      <c r="O20" s="7"/>
      <c r="P20" s="7"/>
      <c r="Q20" s="7"/>
    </row>
    <row r="21" spans="1:17" ht="72" customHeight="1" x14ac:dyDescent="0.35">
      <c r="A21" s="5" t="s">
        <v>268</v>
      </c>
      <c r="B21" s="5" t="s">
        <v>175</v>
      </c>
      <c r="C21" s="5" t="s">
        <v>23</v>
      </c>
      <c r="D21" s="5" t="s">
        <v>29</v>
      </c>
      <c r="E21" s="5" t="s">
        <v>191</v>
      </c>
      <c r="F21" s="5" t="s">
        <v>18</v>
      </c>
      <c r="G21" s="5" t="s">
        <v>177</v>
      </c>
      <c r="H21" s="5" t="s">
        <v>269</v>
      </c>
      <c r="I21" s="5" t="s">
        <v>270</v>
      </c>
      <c r="J21" s="5" t="s">
        <v>271</v>
      </c>
      <c r="K21" s="5" t="s">
        <v>272</v>
      </c>
      <c r="L21" s="5" t="s">
        <v>201</v>
      </c>
      <c r="M21" s="5" t="s">
        <v>219</v>
      </c>
      <c r="N21" s="7" t="s">
        <v>14</v>
      </c>
      <c r="O21" s="7"/>
      <c r="P21" s="7"/>
      <c r="Q21" s="7"/>
    </row>
    <row r="22" spans="1:17" ht="72" customHeight="1" x14ac:dyDescent="0.35">
      <c r="A22" s="5" t="s">
        <v>273</v>
      </c>
      <c r="B22" s="5" t="s">
        <v>175</v>
      </c>
      <c r="C22" s="5" t="s">
        <v>19</v>
      </c>
      <c r="D22" s="5" t="s">
        <v>29</v>
      </c>
      <c r="E22" s="5" t="s">
        <v>274</v>
      </c>
      <c r="F22" s="5" t="s">
        <v>18</v>
      </c>
      <c r="G22" s="5" t="s">
        <v>242</v>
      </c>
      <c r="H22" s="5" t="s">
        <v>275</v>
      </c>
      <c r="I22" s="5" t="s">
        <v>276</v>
      </c>
      <c r="J22" s="5" t="s">
        <v>277</v>
      </c>
      <c r="K22" s="5" t="s">
        <v>278</v>
      </c>
      <c r="L22" s="5" t="s">
        <v>201</v>
      </c>
      <c r="M22" s="5" t="s">
        <v>219</v>
      </c>
      <c r="N22" s="7" t="s">
        <v>14</v>
      </c>
      <c r="O22" s="7"/>
      <c r="P22" s="7"/>
      <c r="Q22" s="7"/>
    </row>
    <row r="23" spans="1:17" ht="72" customHeight="1" x14ac:dyDescent="0.35">
      <c r="A23" s="5" t="s">
        <v>279</v>
      </c>
      <c r="B23" s="5" t="s">
        <v>175</v>
      </c>
      <c r="C23" s="5" t="s">
        <v>23</v>
      </c>
      <c r="D23" s="5" t="s">
        <v>29</v>
      </c>
      <c r="E23" s="5" t="s">
        <v>191</v>
      </c>
      <c r="F23" s="5" t="s">
        <v>18</v>
      </c>
      <c r="G23" s="5" t="s">
        <v>177</v>
      </c>
      <c r="H23" s="5" t="s">
        <v>280</v>
      </c>
      <c r="I23" s="5" t="s">
        <v>281</v>
      </c>
      <c r="J23" s="5" t="s">
        <v>282</v>
      </c>
      <c r="K23" s="5" t="s">
        <v>283</v>
      </c>
      <c r="L23" s="5" t="s">
        <v>201</v>
      </c>
      <c r="M23" s="5" t="s">
        <v>219</v>
      </c>
      <c r="N23" s="7" t="s">
        <v>14</v>
      </c>
      <c r="O23" s="7"/>
      <c r="P23" s="7"/>
      <c r="Q23" s="7"/>
    </row>
    <row r="24" spans="1:17" ht="72" customHeight="1" x14ac:dyDescent="0.35">
      <c r="A24" s="5" t="s">
        <v>284</v>
      </c>
      <c r="B24" s="5" t="s">
        <v>175</v>
      </c>
      <c r="C24" s="5" t="s">
        <v>24</v>
      </c>
      <c r="D24" s="5" t="s">
        <v>31</v>
      </c>
      <c r="E24" s="5" t="s">
        <v>285</v>
      </c>
      <c r="F24" s="5" t="s">
        <v>18</v>
      </c>
      <c r="G24" s="5" t="s">
        <v>177</v>
      </c>
      <c r="H24" s="5" t="s">
        <v>286</v>
      </c>
      <c r="I24" s="5" t="s">
        <v>287</v>
      </c>
      <c r="J24" s="5" t="s">
        <v>288</v>
      </c>
      <c r="K24" s="5" t="s">
        <v>289</v>
      </c>
      <c r="L24" s="5" t="s">
        <v>290</v>
      </c>
      <c r="M24" s="5" t="s">
        <v>219</v>
      </c>
      <c r="N24" s="7" t="s">
        <v>14</v>
      </c>
      <c r="O24" s="7"/>
      <c r="P24" s="7"/>
      <c r="Q24" s="7"/>
    </row>
    <row r="25" spans="1:17" ht="72" customHeight="1" x14ac:dyDescent="0.35">
      <c r="A25" s="5" t="s">
        <v>291</v>
      </c>
      <c r="B25" s="5" t="s">
        <v>175</v>
      </c>
      <c r="C25" s="5" t="s">
        <v>24</v>
      </c>
      <c r="D25" s="5" t="s">
        <v>32</v>
      </c>
      <c r="E25" s="5" t="s">
        <v>208</v>
      </c>
      <c r="F25" s="5" t="s">
        <v>18</v>
      </c>
      <c r="G25" s="5" t="s">
        <v>177</v>
      </c>
      <c r="H25" s="5" t="s">
        <v>292</v>
      </c>
      <c r="I25" s="5" t="s">
        <v>293</v>
      </c>
      <c r="J25" s="5" t="s">
        <v>294</v>
      </c>
      <c r="K25" s="5" t="s">
        <v>295</v>
      </c>
      <c r="L25" s="5" t="s">
        <v>201</v>
      </c>
      <c r="M25" s="5" t="s">
        <v>219</v>
      </c>
      <c r="N25" s="7" t="s">
        <v>14</v>
      </c>
      <c r="O25" s="7"/>
      <c r="P25" s="7"/>
      <c r="Q25" s="7"/>
    </row>
    <row r="26" spans="1:17" ht="72" customHeight="1" x14ac:dyDescent="0.35">
      <c r="A26" s="5" t="s">
        <v>296</v>
      </c>
      <c r="B26" s="5" t="s">
        <v>175</v>
      </c>
      <c r="C26" s="5" t="s">
        <v>24</v>
      </c>
      <c r="D26" s="5" t="s">
        <v>29</v>
      </c>
      <c r="E26" s="5" t="s">
        <v>297</v>
      </c>
      <c r="F26" s="5" t="s">
        <v>18</v>
      </c>
      <c r="G26" s="5" t="s">
        <v>177</v>
      </c>
      <c r="H26" s="5" t="s">
        <v>298</v>
      </c>
      <c r="I26" s="5" t="s">
        <v>299</v>
      </c>
      <c r="J26" s="5" t="s">
        <v>300</v>
      </c>
      <c r="K26" s="5" t="s">
        <v>301</v>
      </c>
      <c r="L26" s="5" t="s">
        <v>201</v>
      </c>
      <c r="M26" s="5" t="s">
        <v>219</v>
      </c>
      <c r="N26" s="7" t="s">
        <v>14</v>
      </c>
      <c r="O26" s="7"/>
      <c r="P26" s="7"/>
      <c r="Q26" s="7"/>
    </row>
    <row r="27" spans="1:17" ht="72" customHeight="1" x14ac:dyDescent="0.35">
      <c r="A27" s="5" t="s">
        <v>302</v>
      </c>
      <c r="B27" s="5" t="s">
        <v>175</v>
      </c>
      <c r="C27" s="5" t="s">
        <v>24</v>
      </c>
      <c r="D27" s="5" t="s">
        <v>32</v>
      </c>
      <c r="E27" s="5" t="s">
        <v>208</v>
      </c>
      <c r="F27" s="5" t="s">
        <v>18</v>
      </c>
      <c r="G27" s="5" t="s">
        <v>242</v>
      </c>
      <c r="H27" s="5" t="s">
        <v>303</v>
      </c>
      <c r="I27" s="5" t="s">
        <v>304</v>
      </c>
      <c r="J27" s="5" t="s">
        <v>305</v>
      </c>
      <c r="K27" s="5" t="s">
        <v>306</v>
      </c>
      <c r="L27" s="5" t="s">
        <v>201</v>
      </c>
      <c r="M27" s="5" t="s">
        <v>219</v>
      </c>
      <c r="N27" s="7" t="s">
        <v>14</v>
      </c>
      <c r="O27" s="7"/>
      <c r="P27" s="7"/>
      <c r="Q27" s="7"/>
    </row>
    <row r="28" spans="1:17" ht="72" customHeight="1" x14ac:dyDescent="0.35">
      <c r="A28" s="5" t="s">
        <v>307</v>
      </c>
      <c r="B28" s="5" t="s">
        <v>175</v>
      </c>
      <c r="C28" s="5" t="s">
        <v>21</v>
      </c>
      <c r="D28" s="5" t="s">
        <v>30</v>
      </c>
      <c r="E28" s="5" t="s">
        <v>308</v>
      </c>
      <c r="F28" s="5" t="s">
        <v>18</v>
      </c>
      <c r="G28" s="5" t="s">
        <v>177</v>
      </c>
      <c r="H28" s="5" t="s">
        <v>309</v>
      </c>
      <c r="I28" s="5" t="s">
        <v>310</v>
      </c>
      <c r="J28" s="5" t="s">
        <v>311</v>
      </c>
      <c r="K28" s="5" t="s">
        <v>312</v>
      </c>
      <c r="L28" s="5" t="s">
        <v>182</v>
      </c>
      <c r="M28" s="5" t="s">
        <v>219</v>
      </c>
      <c r="N28" s="7" t="s">
        <v>14</v>
      </c>
      <c r="O28" s="7"/>
      <c r="P28" s="7"/>
      <c r="Q28" s="7"/>
    </row>
    <row r="29" spans="1:17" ht="72" customHeight="1" x14ac:dyDescent="0.35">
      <c r="A29" s="5" t="s">
        <v>313</v>
      </c>
      <c r="B29" s="5" t="s">
        <v>175</v>
      </c>
      <c r="C29" s="5" t="s">
        <v>23</v>
      </c>
      <c r="D29" s="5" t="s">
        <v>29</v>
      </c>
      <c r="E29" s="5" t="s">
        <v>274</v>
      </c>
      <c r="F29" s="5" t="s">
        <v>18</v>
      </c>
      <c r="G29" s="5" t="s">
        <v>242</v>
      </c>
      <c r="H29" s="5" t="s">
        <v>314</v>
      </c>
      <c r="I29" s="5" t="s">
        <v>315</v>
      </c>
      <c r="J29" s="5" t="s">
        <v>316</v>
      </c>
      <c r="K29" s="5" t="s">
        <v>317</v>
      </c>
      <c r="L29" s="5" t="s">
        <v>201</v>
      </c>
      <c r="M29" s="5" t="s">
        <v>219</v>
      </c>
      <c r="N29" s="7" t="s">
        <v>14</v>
      </c>
      <c r="O29" s="7"/>
      <c r="P29" s="7"/>
      <c r="Q29" s="7"/>
    </row>
    <row r="30" spans="1:17" ht="72" customHeight="1" x14ac:dyDescent="0.35">
      <c r="A30" s="5" t="s">
        <v>318</v>
      </c>
      <c r="B30" s="5" t="s">
        <v>175</v>
      </c>
      <c r="C30" s="5" t="s">
        <v>19</v>
      </c>
      <c r="D30" s="5" t="s">
        <v>29</v>
      </c>
      <c r="E30" s="5" t="s">
        <v>297</v>
      </c>
      <c r="F30" s="5" t="s">
        <v>20</v>
      </c>
      <c r="G30" s="5" t="s">
        <v>242</v>
      </c>
      <c r="H30" s="5" t="s">
        <v>319</v>
      </c>
      <c r="I30" s="5" t="s">
        <v>320</v>
      </c>
      <c r="J30" s="5" t="s">
        <v>321</v>
      </c>
      <c r="K30" s="5" t="s">
        <v>322</v>
      </c>
      <c r="L30" s="5" t="s">
        <v>201</v>
      </c>
      <c r="M30" s="5" t="s">
        <v>251</v>
      </c>
      <c r="N30" s="7" t="s">
        <v>14</v>
      </c>
      <c r="O30" s="7"/>
      <c r="P30" s="7"/>
      <c r="Q30" s="7"/>
    </row>
    <row r="31" spans="1:17" ht="72" customHeight="1" x14ac:dyDescent="0.35">
      <c r="A31" s="5" t="s">
        <v>323</v>
      </c>
      <c r="B31" s="5" t="s">
        <v>175</v>
      </c>
      <c r="C31" s="5" t="s">
        <v>17</v>
      </c>
      <c r="D31" s="5" t="s">
        <v>29</v>
      </c>
      <c r="E31" s="5" t="s">
        <v>191</v>
      </c>
      <c r="F31" s="5" t="s">
        <v>20</v>
      </c>
      <c r="G31" s="5" t="s">
        <v>242</v>
      </c>
      <c r="H31" s="5" t="s">
        <v>324</v>
      </c>
      <c r="I31" s="5" t="s">
        <v>325</v>
      </c>
      <c r="J31" s="5" t="s">
        <v>326</v>
      </c>
      <c r="K31" s="5" t="s">
        <v>327</v>
      </c>
      <c r="L31" s="5" t="s">
        <v>328</v>
      </c>
      <c r="M31" s="5" t="s">
        <v>251</v>
      </c>
      <c r="N31" s="7" t="s">
        <v>14</v>
      </c>
      <c r="O31" s="7"/>
      <c r="P31" s="7"/>
      <c r="Q31" s="7"/>
    </row>
    <row r="32" spans="1:17" ht="72" customHeight="1" x14ac:dyDescent="0.35">
      <c r="A32" s="5" t="s">
        <v>329</v>
      </c>
      <c r="B32" s="5" t="s">
        <v>175</v>
      </c>
      <c r="C32" s="5" t="s">
        <v>19</v>
      </c>
      <c r="D32" s="5" t="s">
        <v>30</v>
      </c>
      <c r="E32" s="5" t="s">
        <v>308</v>
      </c>
      <c r="F32" s="5" t="s">
        <v>20</v>
      </c>
      <c r="G32" s="5" t="s">
        <v>242</v>
      </c>
      <c r="H32" s="5" t="s">
        <v>330</v>
      </c>
      <c r="I32" s="5" t="s">
        <v>331</v>
      </c>
      <c r="J32" s="5" t="s">
        <v>332</v>
      </c>
      <c r="K32" s="5" t="s">
        <v>333</v>
      </c>
      <c r="L32" s="5" t="s">
        <v>328</v>
      </c>
      <c r="M32" s="5" t="s">
        <v>251</v>
      </c>
      <c r="N32" s="7" t="s">
        <v>14</v>
      </c>
      <c r="O32" s="7"/>
      <c r="P32" s="7"/>
      <c r="Q32" s="7"/>
    </row>
    <row r="33" spans="1:17" ht="72" customHeight="1" x14ac:dyDescent="0.35">
      <c r="A33" s="5" t="s">
        <v>334</v>
      </c>
      <c r="B33" s="5" t="s">
        <v>175</v>
      </c>
      <c r="C33" s="5" t="s">
        <v>23</v>
      </c>
      <c r="D33" s="5" t="s">
        <v>32</v>
      </c>
      <c r="E33" s="5" t="s">
        <v>335</v>
      </c>
      <c r="F33" s="5" t="s">
        <v>20</v>
      </c>
      <c r="G33" s="5" t="s">
        <v>242</v>
      </c>
      <c r="H33" s="5" t="s">
        <v>336</v>
      </c>
      <c r="I33" s="5" t="s">
        <v>337</v>
      </c>
      <c r="J33" s="5" t="s">
        <v>338</v>
      </c>
      <c r="K33" s="5" t="s">
        <v>339</v>
      </c>
      <c r="L33" s="5" t="s">
        <v>328</v>
      </c>
      <c r="M33" s="5" t="s">
        <v>251</v>
      </c>
      <c r="N33" s="7" t="s">
        <v>14</v>
      </c>
      <c r="O33" s="7"/>
      <c r="P33" s="7"/>
      <c r="Q33" s="7"/>
    </row>
    <row r="34" spans="1:17" ht="72" customHeight="1" x14ac:dyDescent="0.35">
      <c r="A34" s="5" t="s">
        <v>340</v>
      </c>
      <c r="B34" s="5" t="s">
        <v>175</v>
      </c>
      <c r="C34" s="5" t="s">
        <v>19</v>
      </c>
      <c r="D34" s="5" t="s">
        <v>29</v>
      </c>
      <c r="E34" s="5" t="s">
        <v>274</v>
      </c>
      <c r="F34" s="5" t="s">
        <v>20</v>
      </c>
      <c r="G34" s="5" t="s">
        <v>242</v>
      </c>
      <c r="H34" s="5" t="s">
        <v>341</v>
      </c>
      <c r="I34" s="5" t="s">
        <v>342</v>
      </c>
      <c r="J34" s="5" t="s">
        <v>343</v>
      </c>
      <c r="K34" s="5" t="s">
        <v>344</v>
      </c>
      <c r="L34" s="5" t="s">
        <v>201</v>
      </c>
      <c r="M34" s="5" t="s">
        <v>251</v>
      </c>
      <c r="N34" s="7" t="s">
        <v>14</v>
      </c>
      <c r="O34" s="7"/>
      <c r="P34" s="7"/>
      <c r="Q34" s="7"/>
    </row>
    <row r="35" spans="1:17" ht="72" customHeight="1" x14ac:dyDescent="0.35">
      <c r="A35" s="5" t="s">
        <v>345</v>
      </c>
      <c r="B35" s="5" t="s">
        <v>175</v>
      </c>
      <c r="C35" s="5" t="s">
        <v>21</v>
      </c>
      <c r="D35" s="5" t="s">
        <v>29</v>
      </c>
      <c r="E35" s="5" t="s">
        <v>274</v>
      </c>
      <c r="F35" s="5" t="s">
        <v>20</v>
      </c>
      <c r="G35" s="5" t="s">
        <v>242</v>
      </c>
      <c r="H35" s="5" t="s">
        <v>346</v>
      </c>
      <c r="I35" s="5" t="s">
        <v>347</v>
      </c>
      <c r="J35" s="5" t="s">
        <v>348</v>
      </c>
      <c r="K35" s="5" t="s">
        <v>349</v>
      </c>
      <c r="L35" s="5" t="s">
        <v>201</v>
      </c>
      <c r="M35" s="5" t="s">
        <v>251</v>
      </c>
      <c r="N35" s="7" t="s">
        <v>14</v>
      </c>
      <c r="O35" s="7"/>
      <c r="P35" s="7"/>
      <c r="Q35" s="7"/>
    </row>
    <row r="36" spans="1:17" ht="72" customHeight="1" x14ac:dyDescent="0.35">
      <c r="A36" s="5" t="s">
        <v>350</v>
      </c>
      <c r="B36" s="5" t="s">
        <v>175</v>
      </c>
      <c r="C36" s="5" t="s">
        <v>21</v>
      </c>
      <c r="D36" s="5" t="s">
        <v>29</v>
      </c>
      <c r="E36" s="5" t="s">
        <v>274</v>
      </c>
      <c r="F36" s="5" t="s">
        <v>20</v>
      </c>
      <c r="G36" s="5" t="s">
        <v>242</v>
      </c>
      <c r="H36" s="5" t="s">
        <v>351</v>
      </c>
      <c r="I36" s="5" t="s">
        <v>352</v>
      </c>
      <c r="J36" s="5" t="s">
        <v>353</v>
      </c>
      <c r="K36" s="5" t="s">
        <v>354</v>
      </c>
      <c r="L36" s="5" t="s">
        <v>201</v>
      </c>
      <c r="M36" s="5" t="s">
        <v>251</v>
      </c>
      <c r="N36" s="7" t="s">
        <v>14</v>
      </c>
      <c r="O36" s="7"/>
      <c r="P36" s="7"/>
      <c r="Q36" s="7"/>
    </row>
    <row r="37" spans="1:17" ht="72" customHeight="1" x14ac:dyDescent="0.35">
      <c r="A37" s="5" t="s">
        <v>355</v>
      </c>
      <c r="B37" s="5" t="s">
        <v>175</v>
      </c>
      <c r="C37" s="5" t="s">
        <v>19</v>
      </c>
      <c r="D37" s="5" t="s">
        <v>30</v>
      </c>
      <c r="E37" s="5" t="s">
        <v>308</v>
      </c>
      <c r="F37" s="5" t="s">
        <v>20</v>
      </c>
      <c r="G37" s="5" t="s">
        <v>242</v>
      </c>
      <c r="H37" s="5" t="s">
        <v>356</v>
      </c>
      <c r="I37" s="5" t="s">
        <v>357</v>
      </c>
      <c r="J37" s="5" t="s">
        <v>358</v>
      </c>
      <c r="K37" s="5" t="s">
        <v>359</v>
      </c>
      <c r="L37" s="5" t="s">
        <v>328</v>
      </c>
      <c r="M37" s="5" t="s">
        <v>251</v>
      </c>
      <c r="N37" s="7" t="s">
        <v>14</v>
      </c>
      <c r="O37" s="7"/>
      <c r="P37" s="7"/>
      <c r="Q37" s="7"/>
    </row>
    <row r="38" spans="1:17" ht="72" customHeight="1" x14ac:dyDescent="0.35">
      <c r="A38" s="5" t="s">
        <v>360</v>
      </c>
      <c r="B38" s="5" t="s">
        <v>175</v>
      </c>
      <c r="C38" s="5" t="s">
        <v>23</v>
      </c>
      <c r="D38" s="5" t="s">
        <v>30</v>
      </c>
      <c r="E38" s="5" t="s">
        <v>308</v>
      </c>
      <c r="F38" s="5" t="s">
        <v>20</v>
      </c>
      <c r="G38" s="5" t="s">
        <v>242</v>
      </c>
      <c r="H38" s="5" t="s">
        <v>361</v>
      </c>
      <c r="I38" s="5" t="s">
        <v>362</v>
      </c>
      <c r="J38" s="5" t="s">
        <v>363</v>
      </c>
      <c r="K38" s="5" t="s">
        <v>364</v>
      </c>
      <c r="L38" s="5" t="s">
        <v>328</v>
      </c>
      <c r="M38" s="5" t="s">
        <v>251</v>
      </c>
      <c r="N38" s="7" t="s">
        <v>14</v>
      </c>
      <c r="O38" s="7"/>
      <c r="P38" s="7"/>
      <c r="Q38" s="7"/>
    </row>
    <row r="39" spans="1:17" ht="72" customHeight="1" x14ac:dyDescent="0.35">
      <c r="A39" s="5" t="s">
        <v>365</v>
      </c>
      <c r="B39" s="5" t="s">
        <v>175</v>
      </c>
      <c r="C39" s="5" t="s">
        <v>24</v>
      </c>
      <c r="D39" s="5" t="s">
        <v>30</v>
      </c>
      <c r="E39" s="5" t="s">
        <v>308</v>
      </c>
      <c r="F39" s="5" t="s">
        <v>20</v>
      </c>
      <c r="G39" s="5" t="s">
        <v>177</v>
      </c>
      <c r="H39" s="5" t="s">
        <v>366</v>
      </c>
      <c r="I39" s="5" t="s">
        <v>367</v>
      </c>
      <c r="J39" s="5" t="s">
        <v>368</v>
      </c>
      <c r="K39" s="5" t="s">
        <v>369</v>
      </c>
      <c r="L39" s="5" t="s">
        <v>370</v>
      </c>
      <c r="M39" s="5" t="s">
        <v>251</v>
      </c>
      <c r="N39" s="7" t="s">
        <v>14</v>
      </c>
      <c r="O39" s="7"/>
      <c r="P39" s="7"/>
      <c r="Q39" s="7"/>
    </row>
    <row r="40" spans="1:17" ht="72" customHeight="1" x14ac:dyDescent="0.35">
      <c r="A40" s="5" t="s">
        <v>371</v>
      </c>
      <c r="B40" s="5" t="s">
        <v>175</v>
      </c>
      <c r="C40" s="5" t="s">
        <v>17</v>
      </c>
      <c r="D40" s="5" t="s">
        <v>30</v>
      </c>
      <c r="E40" s="5" t="s">
        <v>308</v>
      </c>
      <c r="F40" s="5" t="s">
        <v>20</v>
      </c>
      <c r="G40" s="5" t="s">
        <v>242</v>
      </c>
      <c r="H40" s="5" t="s">
        <v>372</v>
      </c>
      <c r="I40" s="5" t="s">
        <v>373</v>
      </c>
      <c r="J40" s="5" t="s">
        <v>374</v>
      </c>
      <c r="K40" s="5" t="s">
        <v>375</v>
      </c>
      <c r="L40" s="5" t="s">
        <v>328</v>
      </c>
      <c r="M40" s="5" t="s">
        <v>251</v>
      </c>
      <c r="N40" s="7" t="s">
        <v>14</v>
      </c>
      <c r="O40" s="7"/>
      <c r="P40" s="7"/>
      <c r="Q40" s="7"/>
    </row>
    <row r="41" spans="1:17" ht="72" customHeight="1" x14ac:dyDescent="0.35">
      <c r="A41" s="5" t="s">
        <v>376</v>
      </c>
      <c r="B41" s="5" t="s">
        <v>175</v>
      </c>
      <c r="C41" s="5" t="s">
        <v>23</v>
      </c>
      <c r="D41" s="5" t="s">
        <v>30</v>
      </c>
      <c r="E41" s="5" t="s">
        <v>308</v>
      </c>
      <c r="F41" s="5" t="s">
        <v>20</v>
      </c>
      <c r="G41" s="5" t="s">
        <v>177</v>
      </c>
      <c r="H41" s="5" t="s">
        <v>377</v>
      </c>
      <c r="I41" s="5" t="s">
        <v>378</v>
      </c>
      <c r="J41" s="5" t="s">
        <v>379</v>
      </c>
      <c r="K41" s="5" t="s">
        <v>380</v>
      </c>
      <c r="L41" s="5" t="s">
        <v>381</v>
      </c>
      <c r="M41" s="5" t="s">
        <v>251</v>
      </c>
      <c r="N41" s="7" t="s">
        <v>14</v>
      </c>
      <c r="O41" s="7"/>
      <c r="P41" s="7"/>
      <c r="Q41" s="7"/>
    </row>
    <row r="42" spans="1:17" ht="72" customHeight="1" x14ac:dyDescent="0.35">
      <c r="A42" s="5" t="s">
        <v>382</v>
      </c>
      <c r="B42" s="5" t="s">
        <v>175</v>
      </c>
      <c r="C42" s="5" t="s">
        <v>19</v>
      </c>
      <c r="D42" s="5" t="s">
        <v>30</v>
      </c>
      <c r="E42" s="5" t="s">
        <v>308</v>
      </c>
      <c r="F42" s="5" t="s">
        <v>22</v>
      </c>
      <c r="G42" s="5" t="s">
        <v>242</v>
      </c>
      <c r="H42" s="5" t="s">
        <v>383</v>
      </c>
      <c r="I42" s="5" t="s">
        <v>384</v>
      </c>
      <c r="J42" s="5" t="s">
        <v>385</v>
      </c>
      <c r="K42" s="5" t="s">
        <v>386</v>
      </c>
      <c r="L42" s="5" t="s">
        <v>328</v>
      </c>
      <c r="M42" s="5" t="s">
        <v>387</v>
      </c>
      <c r="N42" s="7" t="s">
        <v>14</v>
      </c>
      <c r="O42" s="7"/>
      <c r="P42" s="7"/>
      <c r="Q42" s="7"/>
    </row>
    <row r="43" spans="1:17" ht="72" customHeight="1" x14ac:dyDescent="0.35">
      <c r="A43" s="5" t="s">
        <v>388</v>
      </c>
      <c r="B43" s="5" t="s">
        <v>175</v>
      </c>
      <c r="C43" s="5" t="s">
        <v>24</v>
      </c>
      <c r="D43" s="5" t="s">
        <v>32</v>
      </c>
      <c r="E43" s="5" t="s">
        <v>208</v>
      </c>
      <c r="F43" s="5" t="s">
        <v>20</v>
      </c>
      <c r="G43" s="5" t="s">
        <v>177</v>
      </c>
      <c r="H43" s="5" t="s">
        <v>389</v>
      </c>
      <c r="I43" s="5" t="s">
        <v>390</v>
      </c>
      <c r="J43" s="5" t="s">
        <v>391</v>
      </c>
      <c r="K43" s="5" t="s">
        <v>392</v>
      </c>
      <c r="L43" s="5" t="s">
        <v>290</v>
      </c>
      <c r="M43" s="5" t="s">
        <v>251</v>
      </c>
      <c r="N43" s="7" t="s">
        <v>14</v>
      </c>
      <c r="O43" s="7"/>
      <c r="P43" s="7"/>
      <c r="Q43" s="7"/>
    </row>
    <row r="44" spans="1:17" ht="72" customHeight="1" x14ac:dyDescent="0.35">
      <c r="A44" s="5" t="s">
        <v>393</v>
      </c>
      <c r="B44" s="5" t="s">
        <v>175</v>
      </c>
      <c r="C44" s="5" t="s">
        <v>23</v>
      </c>
      <c r="D44" s="5" t="s">
        <v>32</v>
      </c>
      <c r="E44" s="5" t="s">
        <v>208</v>
      </c>
      <c r="F44" s="5" t="s">
        <v>20</v>
      </c>
      <c r="G44" s="5" t="s">
        <v>177</v>
      </c>
      <c r="H44" s="5" t="s">
        <v>394</v>
      </c>
      <c r="I44" s="5" t="s">
        <v>395</v>
      </c>
      <c r="J44" s="5" t="s">
        <v>396</v>
      </c>
      <c r="K44" s="5" t="s">
        <v>397</v>
      </c>
      <c r="L44" s="5" t="s">
        <v>201</v>
      </c>
      <c r="M44" s="5" t="s">
        <v>251</v>
      </c>
      <c r="N44" s="7" t="s">
        <v>14</v>
      </c>
      <c r="O44" s="7"/>
      <c r="P44" s="7"/>
      <c r="Q44" s="7"/>
    </row>
    <row r="45" spans="1:17" ht="72" customHeight="1" x14ac:dyDescent="0.35">
      <c r="A45" s="5" t="s">
        <v>398</v>
      </c>
      <c r="B45" s="5" t="s">
        <v>175</v>
      </c>
      <c r="C45" s="5" t="s">
        <v>23</v>
      </c>
      <c r="D45" s="5" t="s">
        <v>32</v>
      </c>
      <c r="E45" s="5" t="s">
        <v>208</v>
      </c>
      <c r="F45" s="5" t="s">
        <v>20</v>
      </c>
      <c r="G45" s="5" t="s">
        <v>242</v>
      </c>
      <c r="H45" s="5" t="s">
        <v>399</v>
      </c>
      <c r="I45" s="5" t="s">
        <v>400</v>
      </c>
      <c r="J45" s="5" t="s">
        <v>401</v>
      </c>
      <c r="K45" s="5" t="s">
        <v>402</v>
      </c>
      <c r="L45" s="5" t="s">
        <v>201</v>
      </c>
      <c r="M45" s="5" t="s">
        <v>251</v>
      </c>
      <c r="N45" s="7" t="s">
        <v>14</v>
      </c>
      <c r="O45" s="7"/>
      <c r="P45" s="7"/>
      <c r="Q45" s="7"/>
    </row>
    <row r="46" spans="1:17" ht="72" customHeight="1" x14ac:dyDescent="0.35">
      <c r="A46" s="5" t="s">
        <v>403</v>
      </c>
      <c r="B46" s="5" t="s">
        <v>175</v>
      </c>
      <c r="C46" s="5" t="s">
        <v>24</v>
      </c>
      <c r="D46" s="5" t="s">
        <v>32</v>
      </c>
      <c r="E46" s="5" t="s">
        <v>208</v>
      </c>
      <c r="F46" s="5" t="s">
        <v>20</v>
      </c>
      <c r="G46" s="5" t="s">
        <v>177</v>
      </c>
      <c r="H46" s="5" t="s">
        <v>404</v>
      </c>
      <c r="I46" s="5" t="s">
        <v>405</v>
      </c>
      <c r="J46" s="5" t="s">
        <v>406</v>
      </c>
      <c r="K46" s="5" t="s">
        <v>407</v>
      </c>
      <c r="L46" s="5" t="s">
        <v>213</v>
      </c>
      <c r="M46" s="5" t="s">
        <v>251</v>
      </c>
      <c r="N46" s="7" t="s">
        <v>14</v>
      </c>
      <c r="O46" s="7"/>
      <c r="P46" s="7"/>
      <c r="Q46" s="7"/>
    </row>
    <row r="47" spans="1:17" ht="72" customHeight="1" x14ac:dyDescent="0.35">
      <c r="A47" s="5" t="s">
        <v>408</v>
      </c>
      <c r="B47" s="5" t="s">
        <v>175</v>
      </c>
      <c r="C47" s="5" t="s">
        <v>24</v>
      </c>
      <c r="D47" s="5" t="s">
        <v>34</v>
      </c>
      <c r="E47" s="5" t="s">
        <v>409</v>
      </c>
      <c r="F47" s="5" t="s">
        <v>18</v>
      </c>
      <c r="G47" s="5" t="s">
        <v>177</v>
      </c>
      <c r="H47" s="5" t="s">
        <v>410</v>
      </c>
      <c r="I47" s="5" t="s">
        <v>411</v>
      </c>
      <c r="J47" s="5" t="s">
        <v>412</v>
      </c>
      <c r="K47" s="5" t="s">
        <v>413</v>
      </c>
      <c r="L47" s="5" t="s">
        <v>381</v>
      </c>
      <c r="M47" s="5" t="s">
        <v>219</v>
      </c>
      <c r="N47" s="7" t="s">
        <v>14</v>
      </c>
      <c r="O47" s="7"/>
      <c r="P47" s="7"/>
      <c r="Q47" s="7"/>
    </row>
    <row r="48" spans="1:17" ht="72" customHeight="1" x14ac:dyDescent="0.35">
      <c r="A48" s="5" t="s">
        <v>414</v>
      </c>
      <c r="B48" s="5" t="s">
        <v>175</v>
      </c>
      <c r="C48" s="5" t="s">
        <v>24</v>
      </c>
      <c r="D48" s="5" t="s">
        <v>33</v>
      </c>
      <c r="E48" s="5" t="s">
        <v>176</v>
      </c>
      <c r="F48" s="5" t="s">
        <v>18</v>
      </c>
      <c r="G48" s="5" t="s">
        <v>177</v>
      </c>
      <c r="H48" s="5" t="s">
        <v>415</v>
      </c>
      <c r="I48" s="5" t="s">
        <v>416</v>
      </c>
      <c r="J48" s="5" t="s">
        <v>417</v>
      </c>
      <c r="K48" s="5" t="s">
        <v>418</v>
      </c>
      <c r="L48" s="5" t="s">
        <v>182</v>
      </c>
      <c r="M48" s="5" t="s">
        <v>219</v>
      </c>
      <c r="N48" s="7" t="s">
        <v>14</v>
      </c>
      <c r="O48" s="7"/>
      <c r="P48" s="7"/>
      <c r="Q48" s="7"/>
    </row>
    <row r="49" spans="1:17" ht="72" customHeight="1" x14ac:dyDescent="0.35">
      <c r="A49" s="5" t="s">
        <v>419</v>
      </c>
      <c r="B49" s="5" t="s">
        <v>175</v>
      </c>
      <c r="C49" s="5" t="s">
        <v>24</v>
      </c>
      <c r="D49" s="5" t="s">
        <v>31</v>
      </c>
      <c r="E49" s="5" t="s">
        <v>420</v>
      </c>
      <c r="F49" s="5" t="s">
        <v>18</v>
      </c>
      <c r="G49" s="5" t="s">
        <v>177</v>
      </c>
      <c r="H49" s="5" t="s">
        <v>421</v>
      </c>
      <c r="I49" s="5" t="s">
        <v>422</v>
      </c>
      <c r="J49" s="5" t="s">
        <v>423</v>
      </c>
      <c r="K49" s="5" t="s">
        <v>424</v>
      </c>
      <c r="L49" s="5" t="s">
        <v>213</v>
      </c>
      <c r="M49" s="5" t="s">
        <v>219</v>
      </c>
      <c r="N49" s="7" t="s">
        <v>14</v>
      </c>
      <c r="O49" s="7"/>
      <c r="P49" s="7"/>
      <c r="Q49" s="7"/>
    </row>
    <row r="50" spans="1:17" ht="72" customHeight="1" x14ac:dyDescent="0.35">
      <c r="A50" s="5" t="s">
        <v>425</v>
      </c>
      <c r="B50" s="5" t="s">
        <v>175</v>
      </c>
      <c r="C50" s="5" t="s">
        <v>21</v>
      </c>
      <c r="D50" s="5" t="s">
        <v>29</v>
      </c>
      <c r="E50" s="5" t="s">
        <v>297</v>
      </c>
      <c r="F50" s="5" t="s">
        <v>20</v>
      </c>
      <c r="G50" s="5" t="s">
        <v>242</v>
      </c>
      <c r="H50" s="5" t="s">
        <v>426</v>
      </c>
      <c r="I50" s="5" t="s">
        <v>427</v>
      </c>
      <c r="J50" s="5" t="s">
        <v>428</v>
      </c>
      <c r="K50" s="5" t="s">
        <v>429</v>
      </c>
      <c r="L50" s="5" t="s">
        <v>201</v>
      </c>
      <c r="M50" s="5" t="s">
        <v>251</v>
      </c>
      <c r="N50" s="7" t="s">
        <v>14</v>
      </c>
      <c r="O50" s="7"/>
      <c r="P50" s="7"/>
      <c r="Q50" s="7"/>
    </row>
    <row r="51" spans="1:17" ht="72" customHeight="1" x14ac:dyDescent="0.35">
      <c r="A51" s="5" t="s">
        <v>430</v>
      </c>
      <c r="B51" s="5" t="s">
        <v>175</v>
      </c>
      <c r="C51" s="5" t="s">
        <v>26</v>
      </c>
      <c r="D51" s="5" t="s">
        <v>29</v>
      </c>
      <c r="E51" s="5" t="s">
        <v>297</v>
      </c>
      <c r="F51" s="5" t="s">
        <v>18</v>
      </c>
      <c r="G51" s="5" t="s">
        <v>177</v>
      </c>
      <c r="H51" s="5" t="s">
        <v>431</v>
      </c>
      <c r="I51" s="5" t="s">
        <v>432</v>
      </c>
      <c r="J51" s="5" t="s">
        <v>433</v>
      </c>
      <c r="K51" s="5" t="s">
        <v>434</v>
      </c>
      <c r="L51" s="5" t="s">
        <v>201</v>
      </c>
      <c r="M51" s="5" t="s">
        <v>219</v>
      </c>
      <c r="N51" s="7" t="s">
        <v>14</v>
      </c>
      <c r="O51" s="7"/>
      <c r="P51" s="7"/>
      <c r="Q51" s="7"/>
    </row>
    <row r="52" spans="1:17" ht="150" customHeight="1" x14ac:dyDescent="0.35">
      <c r="A52" s="5" t="s">
        <v>435</v>
      </c>
      <c r="B52" s="5" t="s">
        <v>175</v>
      </c>
      <c r="C52" s="5" t="s">
        <v>24</v>
      </c>
      <c r="D52" s="5" t="s">
        <v>29</v>
      </c>
      <c r="E52" s="5" t="s">
        <v>185</v>
      </c>
      <c r="F52" s="5" t="s">
        <v>20</v>
      </c>
      <c r="G52" s="5" t="s">
        <v>242</v>
      </c>
      <c r="H52" s="5" t="s">
        <v>436</v>
      </c>
      <c r="I52" s="5" t="s">
        <v>437</v>
      </c>
      <c r="J52" s="5" t="s">
        <v>438</v>
      </c>
      <c r="K52" s="5" t="s">
        <v>439</v>
      </c>
      <c r="L52" s="5" t="s">
        <v>440</v>
      </c>
      <c r="M52" s="5" t="s">
        <v>251</v>
      </c>
      <c r="N52" s="7" t="s">
        <v>14</v>
      </c>
      <c r="O52" s="7"/>
      <c r="P52" s="7"/>
      <c r="Q52" s="7" t="s">
        <v>441</v>
      </c>
    </row>
    <row r="53" spans="1:17" ht="132" customHeight="1" x14ac:dyDescent="0.35">
      <c r="A53" s="5" t="s">
        <v>442</v>
      </c>
      <c r="B53" s="5" t="s">
        <v>175</v>
      </c>
      <c r="C53" s="5" t="s">
        <v>24</v>
      </c>
      <c r="D53" s="5" t="s">
        <v>31</v>
      </c>
      <c r="E53" s="5" t="s">
        <v>443</v>
      </c>
      <c r="F53" s="5" t="s">
        <v>6</v>
      </c>
      <c r="G53" s="5" t="s">
        <v>177</v>
      </c>
      <c r="H53" s="5" t="s">
        <v>444</v>
      </c>
      <c r="I53" s="5" t="s">
        <v>445</v>
      </c>
      <c r="J53" s="5" t="s">
        <v>446</v>
      </c>
      <c r="K53" s="5" t="s">
        <v>447</v>
      </c>
      <c r="L53" s="5" t="s">
        <v>381</v>
      </c>
      <c r="M53" s="5" t="s">
        <v>219</v>
      </c>
      <c r="N53" s="7" t="s">
        <v>14</v>
      </c>
      <c r="O53" s="7"/>
      <c r="P53" s="7"/>
      <c r="Q53" s="7" t="s">
        <v>448</v>
      </c>
    </row>
    <row r="54" spans="1:17" ht="132" customHeight="1" x14ac:dyDescent="0.35">
      <c r="A54" s="5" t="s">
        <v>449</v>
      </c>
      <c r="B54" s="5" t="s">
        <v>175</v>
      </c>
      <c r="C54" s="5" t="s">
        <v>24</v>
      </c>
      <c r="D54" s="5" t="s">
        <v>31</v>
      </c>
      <c r="E54" s="5" t="s">
        <v>443</v>
      </c>
      <c r="F54" s="5" t="s">
        <v>6</v>
      </c>
      <c r="G54" s="5" t="s">
        <v>177</v>
      </c>
      <c r="H54" s="5" t="s">
        <v>450</v>
      </c>
      <c r="I54" s="5" t="s">
        <v>451</v>
      </c>
      <c r="J54" s="5" t="s">
        <v>452</v>
      </c>
      <c r="K54" s="5" t="s">
        <v>447</v>
      </c>
      <c r="L54" s="5" t="s">
        <v>328</v>
      </c>
      <c r="M54" s="5" t="s">
        <v>219</v>
      </c>
      <c r="N54" s="7" t="s">
        <v>14</v>
      </c>
      <c r="O54" s="7"/>
      <c r="P54" s="7"/>
      <c r="Q54" s="7" t="s">
        <v>448</v>
      </c>
    </row>
    <row r="55" spans="1:17" ht="132" customHeight="1" x14ac:dyDescent="0.35">
      <c r="A55" s="5" t="s">
        <v>453</v>
      </c>
      <c r="B55" s="5" t="s">
        <v>175</v>
      </c>
      <c r="C55" s="5" t="s">
        <v>24</v>
      </c>
      <c r="D55" s="5" t="s">
        <v>31</v>
      </c>
      <c r="E55" s="5" t="s">
        <v>443</v>
      </c>
      <c r="F55" s="5" t="s">
        <v>18</v>
      </c>
      <c r="G55" s="5" t="s">
        <v>177</v>
      </c>
      <c r="H55" s="5" t="s">
        <v>454</v>
      </c>
      <c r="I55" s="5" t="s">
        <v>455</v>
      </c>
      <c r="J55" s="5" t="s">
        <v>456</v>
      </c>
      <c r="K55" s="5" t="s">
        <v>447</v>
      </c>
      <c r="L55" s="5" t="s">
        <v>381</v>
      </c>
      <c r="M55" s="5" t="s">
        <v>457</v>
      </c>
      <c r="N55" s="7" t="s">
        <v>14</v>
      </c>
      <c r="O55" s="7"/>
      <c r="P55" s="7"/>
      <c r="Q55" s="7" t="s">
        <v>448</v>
      </c>
    </row>
    <row r="56" spans="1:17" ht="132" customHeight="1" x14ac:dyDescent="0.35">
      <c r="A56" s="5" t="s">
        <v>458</v>
      </c>
      <c r="B56" s="5" t="s">
        <v>175</v>
      </c>
      <c r="C56" s="5" t="s">
        <v>24</v>
      </c>
      <c r="D56" s="5" t="s">
        <v>31</v>
      </c>
      <c r="E56" s="5" t="s">
        <v>443</v>
      </c>
      <c r="F56" s="5" t="s">
        <v>18</v>
      </c>
      <c r="G56" s="5" t="s">
        <v>177</v>
      </c>
      <c r="H56" s="5" t="s">
        <v>459</v>
      </c>
      <c r="I56" s="5" t="s">
        <v>460</v>
      </c>
      <c r="J56" s="5" t="s">
        <v>461</v>
      </c>
      <c r="K56" s="5" t="s">
        <v>447</v>
      </c>
      <c r="L56" s="5" t="s">
        <v>381</v>
      </c>
      <c r="M56" s="5" t="s">
        <v>457</v>
      </c>
      <c r="N56" s="7" t="s">
        <v>14</v>
      </c>
      <c r="O56" s="7"/>
      <c r="P56" s="7"/>
      <c r="Q56" s="7" t="s">
        <v>448</v>
      </c>
    </row>
    <row r="57" spans="1:17" ht="132" customHeight="1" x14ac:dyDescent="0.35">
      <c r="A57" s="5" t="s">
        <v>462</v>
      </c>
      <c r="B57" s="5" t="s">
        <v>175</v>
      </c>
      <c r="C57" s="5" t="s">
        <v>24</v>
      </c>
      <c r="D57" s="5" t="s">
        <v>31</v>
      </c>
      <c r="E57" s="5" t="s">
        <v>443</v>
      </c>
      <c r="F57" s="5" t="s">
        <v>18</v>
      </c>
      <c r="G57" s="5" t="s">
        <v>242</v>
      </c>
      <c r="H57" s="5" t="s">
        <v>463</v>
      </c>
      <c r="I57" s="5" t="s">
        <v>464</v>
      </c>
      <c r="J57" s="5" t="s">
        <v>465</v>
      </c>
      <c r="K57" s="5" t="s">
        <v>447</v>
      </c>
      <c r="L57" s="5" t="s">
        <v>381</v>
      </c>
      <c r="M57" s="5" t="s">
        <v>251</v>
      </c>
      <c r="N57" s="7" t="s">
        <v>14</v>
      </c>
      <c r="O57" s="7"/>
      <c r="P57" s="7"/>
      <c r="Q57" s="7" t="s">
        <v>448</v>
      </c>
    </row>
    <row r="58" spans="1:17" ht="132" customHeight="1" x14ac:dyDescent="0.35">
      <c r="A58" s="5" t="s">
        <v>466</v>
      </c>
      <c r="B58" s="5" t="s">
        <v>175</v>
      </c>
      <c r="C58" s="5" t="s">
        <v>24</v>
      </c>
      <c r="D58" s="5" t="s">
        <v>31</v>
      </c>
      <c r="E58" s="5" t="s">
        <v>443</v>
      </c>
      <c r="F58" s="5" t="s">
        <v>18</v>
      </c>
      <c r="G58" s="5" t="s">
        <v>177</v>
      </c>
      <c r="H58" s="5" t="s">
        <v>467</v>
      </c>
      <c r="I58" s="5" t="s">
        <v>468</v>
      </c>
      <c r="J58" s="5" t="s">
        <v>469</v>
      </c>
      <c r="K58" s="5" t="s">
        <v>447</v>
      </c>
      <c r="L58" s="5" t="s">
        <v>381</v>
      </c>
      <c r="M58" s="5" t="s">
        <v>457</v>
      </c>
      <c r="N58" s="7" t="s">
        <v>14</v>
      </c>
      <c r="O58" s="7"/>
      <c r="P58" s="7"/>
      <c r="Q58" s="7" t="s">
        <v>448</v>
      </c>
    </row>
    <row r="59" spans="1:17" ht="132" customHeight="1" x14ac:dyDescent="0.35">
      <c r="A59" s="5" t="s">
        <v>470</v>
      </c>
      <c r="B59" s="5" t="s">
        <v>175</v>
      </c>
      <c r="C59" s="5" t="s">
        <v>24</v>
      </c>
      <c r="D59" s="5" t="s">
        <v>31</v>
      </c>
      <c r="E59" s="5" t="s">
        <v>443</v>
      </c>
      <c r="F59" s="5" t="s">
        <v>18</v>
      </c>
      <c r="G59" s="5" t="s">
        <v>177</v>
      </c>
      <c r="H59" s="5" t="s">
        <v>471</v>
      </c>
      <c r="I59" s="5" t="s">
        <v>472</v>
      </c>
      <c r="J59" s="5" t="s">
        <v>473</v>
      </c>
      <c r="K59" s="5" t="s">
        <v>447</v>
      </c>
      <c r="L59" s="5" t="s">
        <v>290</v>
      </c>
      <c r="M59" s="5" t="s">
        <v>457</v>
      </c>
      <c r="N59" s="7" t="s">
        <v>14</v>
      </c>
      <c r="O59" s="7"/>
      <c r="P59" s="7"/>
      <c r="Q59" s="7" t="s">
        <v>448</v>
      </c>
    </row>
    <row r="60" spans="1:17" ht="132" customHeight="1" x14ac:dyDescent="0.35">
      <c r="A60" s="5" t="s">
        <v>474</v>
      </c>
      <c r="B60" s="5" t="s">
        <v>175</v>
      </c>
      <c r="C60" s="5" t="s">
        <v>24</v>
      </c>
      <c r="D60" s="5" t="s">
        <v>31</v>
      </c>
      <c r="E60" s="5" t="s">
        <v>443</v>
      </c>
      <c r="F60" s="5" t="s">
        <v>18</v>
      </c>
      <c r="G60" s="5" t="s">
        <v>177</v>
      </c>
      <c r="H60" s="5" t="s">
        <v>475</v>
      </c>
      <c r="I60" s="5" t="s">
        <v>476</v>
      </c>
      <c r="J60" s="5" t="s">
        <v>477</v>
      </c>
      <c r="K60" s="5" t="s">
        <v>447</v>
      </c>
      <c r="L60" s="5" t="s">
        <v>328</v>
      </c>
      <c r="M60" s="5" t="s">
        <v>457</v>
      </c>
      <c r="N60" s="7" t="s">
        <v>14</v>
      </c>
      <c r="O60" s="7"/>
      <c r="P60" s="7"/>
      <c r="Q60" s="7" t="s">
        <v>448</v>
      </c>
    </row>
    <row r="61" spans="1:17" ht="132" customHeight="1" x14ac:dyDescent="0.35">
      <c r="A61" s="5" t="s">
        <v>478</v>
      </c>
      <c r="B61" s="5" t="s">
        <v>175</v>
      </c>
      <c r="C61" s="5" t="s">
        <v>24</v>
      </c>
      <c r="D61" s="5" t="s">
        <v>31</v>
      </c>
      <c r="E61" s="5" t="s">
        <v>443</v>
      </c>
      <c r="F61" s="5" t="s">
        <v>18</v>
      </c>
      <c r="G61" s="5" t="s">
        <v>177</v>
      </c>
      <c r="H61" s="5" t="s">
        <v>479</v>
      </c>
      <c r="I61" s="5" t="s">
        <v>480</v>
      </c>
      <c r="J61" s="5" t="s">
        <v>481</v>
      </c>
      <c r="K61" s="5" t="s">
        <v>447</v>
      </c>
      <c r="L61" s="5" t="s">
        <v>381</v>
      </c>
      <c r="M61" s="5" t="s">
        <v>251</v>
      </c>
      <c r="N61" s="7" t="s">
        <v>14</v>
      </c>
      <c r="O61" s="7"/>
      <c r="P61" s="7"/>
      <c r="Q61" s="7" t="s">
        <v>448</v>
      </c>
    </row>
    <row r="62" spans="1:17" ht="132" customHeight="1" x14ac:dyDescent="0.35">
      <c r="A62" s="5" t="s">
        <v>482</v>
      </c>
      <c r="B62" s="5" t="s">
        <v>175</v>
      </c>
      <c r="C62" s="5" t="s">
        <v>24</v>
      </c>
      <c r="D62" s="5" t="s">
        <v>31</v>
      </c>
      <c r="E62" s="5" t="s">
        <v>443</v>
      </c>
      <c r="F62" s="5" t="s">
        <v>18</v>
      </c>
      <c r="G62" s="5" t="s">
        <v>177</v>
      </c>
      <c r="H62" s="5" t="s">
        <v>483</v>
      </c>
      <c r="I62" s="5" t="s">
        <v>484</v>
      </c>
      <c r="J62" s="5" t="s">
        <v>485</v>
      </c>
      <c r="K62" s="5" t="s">
        <v>447</v>
      </c>
      <c r="L62" s="5" t="s">
        <v>381</v>
      </c>
      <c r="M62" s="5" t="s">
        <v>457</v>
      </c>
      <c r="N62" s="7" t="s">
        <v>14</v>
      </c>
      <c r="O62" s="7"/>
      <c r="P62" s="7"/>
      <c r="Q62" s="7" t="s">
        <v>448</v>
      </c>
    </row>
    <row r="63" spans="1:17" ht="132" customHeight="1" x14ac:dyDescent="0.35">
      <c r="A63" s="5" t="s">
        <v>486</v>
      </c>
      <c r="B63" s="5" t="s">
        <v>175</v>
      </c>
      <c r="C63" s="5" t="s">
        <v>24</v>
      </c>
      <c r="D63" s="5" t="s">
        <v>31</v>
      </c>
      <c r="E63" s="5" t="s">
        <v>443</v>
      </c>
      <c r="F63" s="5" t="s">
        <v>18</v>
      </c>
      <c r="G63" s="5" t="s">
        <v>177</v>
      </c>
      <c r="H63" s="5" t="s">
        <v>487</v>
      </c>
      <c r="I63" s="5" t="s">
        <v>488</v>
      </c>
      <c r="J63" s="5" t="s">
        <v>489</v>
      </c>
      <c r="K63" s="5" t="s">
        <v>447</v>
      </c>
      <c r="L63" s="5" t="s">
        <v>381</v>
      </c>
      <c r="M63" s="5" t="s">
        <v>219</v>
      </c>
      <c r="N63" s="7" t="s">
        <v>14</v>
      </c>
      <c r="O63" s="7"/>
      <c r="P63" s="7"/>
      <c r="Q63" s="7" t="s">
        <v>448</v>
      </c>
    </row>
    <row r="64" spans="1:17" ht="132" customHeight="1" x14ac:dyDescent="0.35">
      <c r="A64" s="5" t="s">
        <v>490</v>
      </c>
      <c r="B64" s="5" t="s">
        <v>175</v>
      </c>
      <c r="C64" s="5" t="s">
        <v>24</v>
      </c>
      <c r="D64" s="5" t="s">
        <v>31</v>
      </c>
      <c r="E64" s="5" t="s">
        <v>443</v>
      </c>
      <c r="F64" s="5" t="s">
        <v>20</v>
      </c>
      <c r="G64" s="5" t="s">
        <v>242</v>
      </c>
      <c r="H64" s="5" t="s">
        <v>491</v>
      </c>
      <c r="I64" s="5" t="s">
        <v>492</v>
      </c>
      <c r="J64" s="5" t="s">
        <v>493</v>
      </c>
      <c r="K64" s="5" t="s">
        <v>447</v>
      </c>
      <c r="L64" s="5" t="s">
        <v>381</v>
      </c>
      <c r="M64" s="5" t="s">
        <v>251</v>
      </c>
      <c r="N64" s="7" t="s">
        <v>14</v>
      </c>
      <c r="O64" s="7"/>
      <c r="P64" s="7"/>
      <c r="Q64" s="7" t="s">
        <v>448</v>
      </c>
    </row>
    <row r="65" spans="1:17" ht="132" customHeight="1" x14ac:dyDescent="0.35">
      <c r="A65" s="5" t="s">
        <v>494</v>
      </c>
      <c r="B65" s="5" t="s">
        <v>175</v>
      </c>
      <c r="C65" s="5" t="s">
        <v>24</v>
      </c>
      <c r="D65" s="5" t="s">
        <v>31</v>
      </c>
      <c r="E65" s="5" t="s">
        <v>443</v>
      </c>
      <c r="F65" s="5" t="s">
        <v>20</v>
      </c>
      <c r="G65" s="5" t="s">
        <v>242</v>
      </c>
      <c r="H65" s="5" t="s">
        <v>495</v>
      </c>
      <c r="I65" s="5" t="s">
        <v>496</v>
      </c>
      <c r="J65" s="5" t="s">
        <v>497</v>
      </c>
      <c r="K65" s="5" t="s">
        <v>447</v>
      </c>
      <c r="L65" s="5" t="s">
        <v>328</v>
      </c>
      <c r="M65" s="5" t="s">
        <v>251</v>
      </c>
      <c r="N65" s="7" t="s">
        <v>14</v>
      </c>
      <c r="O65" s="7"/>
      <c r="P65" s="7"/>
      <c r="Q65" s="7" t="s">
        <v>448</v>
      </c>
    </row>
    <row r="66" spans="1:17" ht="132" customHeight="1" x14ac:dyDescent="0.35">
      <c r="A66" s="5" t="s">
        <v>498</v>
      </c>
      <c r="B66" s="5" t="s">
        <v>175</v>
      </c>
      <c r="C66" s="5" t="s">
        <v>24</v>
      </c>
      <c r="D66" s="5" t="s">
        <v>31</v>
      </c>
      <c r="E66" s="5" t="s">
        <v>443</v>
      </c>
      <c r="F66" s="5" t="s">
        <v>20</v>
      </c>
      <c r="G66" s="5" t="s">
        <v>242</v>
      </c>
      <c r="H66" s="5" t="s">
        <v>499</v>
      </c>
      <c r="I66" s="5" t="s">
        <v>500</v>
      </c>
      <c r="J66" s="5" t="s">
        <v>501</v>
      </c>
      <c r="K66" s="5" t="s">
        <v>447</v>
      </c>
      <c r="L66" s="5" t="s">
        <v>213</v>
      </c>
      <c r="M66" s="5" t="s">
        <v>219</v>
      </c>
      <c r="N66" s="7" t="s">
        <v>14</v>
      </c>
      <c r="O66" s="7"/>
      <c r="P66" s="7"/>
      <c r="Q66" s="7" t="s">
        <v>448</v>
      </c>
    </row>
  </sheetData>
  <autoFilter ref="A4:Q66" xr:uid="{00000000-0009-0000-0000-000003000000}"/>
  <conditionalFormatting sqref="F5:F51">
    <cfRule type="cellIs" dxfId="34" priority="2" operator="equal">
      <formula>"Critical"</formula>
    </cfRule>
    <cfRule type="cellIs" dxfId="33" priority="3" operator="equal">
      <formula>"High"</formula>
    </cfRule>
    <cfRule type="cellIs" dxfId="32" priority="4" operator="equal">
      <formula>"Medium"</formula>
    </cfRule>
  </conditionalFormatting>
  <conditionalFormatting sqref="G5:G51">
    <cfRule type="cellIs" dxfId="31" priority="5" operator="equal">
      <formula>"Yes"</formula>
    </cfRule>
  </conditionalFormatting>
  <conditionalFormatting sqref="N5:N51">
    <cfRule type="cellIs" dxfId="30" priority="6" operator="equal">
      <formula>"Closed"</formula>
    </cfRule>
    <cfRule type="cellIs" dxfId="29" priority="7" operator="equal">
      <formula>"Retest passed"</formula>
    </cfRule>
  </conditionalFormatting>
  <dataValidations count="2">
    <dataValidation type="list" allowBlank="1" sqref="N5:N52" xr:uid="{00000000-0002-0000-0300-000000000000}">
      <formula1>"Open,In progress,Fixed - awaiting retest,Retest passed,Closed,Deferred,Not a defect"</formula1>
      <formula2>0</formula2>
    </dataValidation>
    <dataValidation type="list" allowBlank="1" sqref="P5:P51" xr:uid="{00000000-0002-0000-0300-000001000000}">
      <formula1>"Pass,Fail,Partial,Not run"</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6"/>
  <sheetViews>
    <sheetView showGridLines="0" zoomScale="86" zoomScaleNormal="100" workbookViewId="0">
      <pane xSplit="8" ySplit="4" topLeftCell="I48" activePane="bottomRight" state="frozen"/>
      <selection pane="topRight" activeCell="I1" sqref="I1"/>
      <selection pane="bottomLeft" activeCell="A5" sqref="A5"/>
      <selection pane="bottomRight" activeCell="A57" sqref="A57"/>
    </sheetView>
  </sheetViews>
  <sheetFormatPr defaultColWidth="8.7265625" defaultRowHeight="14.5" x14ac:dyDescent="0.35"/>
  <cols>
    <col min="1" max="1" width="9" style="10" customWidth="1"/>
    <col min="2" max="2" width="13" style="10" customWidth="1"/>
    <col min="3" max="3" width="18" style="10" customWidth="1"/>
    <col min="4" max="4" width="12.453125" style="10" customWidth="1"/>
    <col min="5" max="5" width="13" style="10" customWidth="1"/>
    <col min="6" max="6" width="11" style="10" customWidth="1"/>
    <col min="7" max="7" width="15" style="10" customWidth="1"/>
    <col min="8" max="8" width="44" style="10" customWidth="1"/>
    <col min="9" max="9" width="74" style="10" customWidth="1"/>
    <col min="10" max="11" width="46" style="10" customWidth="1"/>
    <col min="12" max="12" width="22" style="10" customWidth="1"/>
    <col min="13" max="13" width="13" style="10" customWidth="1"/>
    <col min="14" max="14" width="15" style="10" customWidth="1"/>
    <col min="15" max="15" width="13" style="10" customWidth="1"/>
    <col min="16" max="16" width="15" style="10" customWidth="1"/>
    <col min="17" max="17" width="57.1796875" style="10" customWidth="1"/>
    <col min="18" max="16384" width="8.7265625" style="10"/>
  </cols>
  <sheetData>
    <row r="1" spans="1:17" ht="19.5" x14ac:dyDescent="0.45">
      <c r="A1" s="36" t="s">
        <v>502</v>
      </c>
      <c r="B1" s="36"/>
      <c r="C1" s="36"/>
      <c r="D1" s="36"/>
      <c r="E1" s="36"/>
      <c r="F1" s="36"/>
      <c r="G1" s="36"/>
      <c r="H1" s="36"/>
      <c r="I1" s="36"/>
    </row>
    <row r="2" spans="1:17" x14ac:dyDescent="0.35">
      <c r="A2" s="37" t="s">
        <v>503</v>
      </c>
      <c r="B2" s="37"/>
      <c r="C2" s="37"/>
      <c r="D2" s="37"/>
      <c r="E2" s="37"/>
      <c r="F2" s="37"/>
      <c r="G2" s="37"/>
      <c r="H2" s="37"/>
      <c r="I2" s="37"/>
    </row>
    <row r="4" spans="1:17" ht="26" x14ac:dyDescent="0.35">
      <c r="A4" s="27" t="s">
        <v>50</v>
      </c>
      <c r="B4" s="27" t="s">
        <v>504</v>
      </c>
      <c r="C4" s="27" t="s">
        <v>16</v>
      </c>
      <c r="D4" s="27" t="s">
        <v>59</v>
      </c>
      <c r="E4" s="27" t="s">
        <v>60</v>
      </c>
      <c r="F4" s="27" t="s">
        <v>51</v>
      </c>
      <c r="G4" s="27" t="s">
        <v>58</v>
      </c>
      <c r="H4" s="27" t="s">
        <v>64</v>
      </c>
      <c r="I4" s="27" t="s">
        <v>65</v>
      </c>
      <c r="J4" s="27" t="s">
        <v>66</v>
      </c>
      <c r="K4" s="27" t="s">
        <v>67</v>
      </c>
      <c r="L4" s="27" t="s">
        <v>61</v>
      </c>
      <c r="M4" s="27" t="s">
        <v>62</v>
      </c>
      <c r="N4" s="27" t="s">
        <v>36</v>
      </c>
      <c r="O4" s="27" t="s">
        <v>505</v>
      </c>
      <c r="P4" s="27" t="s">
        <v>506</v>
      </c>
      <c r="Q4" s="27" t="s">
        <v>72</v>
      </c>
    </row>
    <row r="5" spans="1:17" ht="65" x14ac:dyDescent="0.35">
      <c r="A5" s="25" t="s">
        <v>174</v>
      </c>
      <c r="B5" s="25" t="s">
        <v>175</v>
      </c>
      <c r="C5" s="25" t="s">
        <v>21</v>
      </c>
      <c r="D5" s="25" t="s">
        <v>507</v>
      </c>
      <c r="E5" s="25" t="s">
        <v>176</v>
      </c>
      <c r="F5" s="25" t="s">
        <v>508</v>
      </c>
      <c r="G5" s="25" t="s">
        <v>509</v>
      </c>
      <c r="H5" s="25" t="s">
        <v>510</v>
      </c>
      <c r="I5" s="25" t="s">
        <v>511</v>
      </c>
      <c r="J5" s="25" t="s">
        <v>512</v>
      </c>
      <c r="K5" s="25" t="s">
        <v>513</v>
      </c>
      <c r="L5" s="25" t="s">
        <v>182</v>
      </c>
      <c r="M5" s="25" t="s">
        <v>183</v>
      </c>
      <c r="N5" s="28" t="s">
        <v>514</v>
      </c>
      <c r="O5" s="28"/>
      <c r="P5" s="28"/>
      <c r="Q5" s="28"/>
    </row>
    <row r="6" spans="1:17" ht="26" x14ac:dyDescent="0.35">
      <c r="A6" s="25" t="s">
        <v>184</v>
      </c>
      <c r="B6" s="25" t="s">
        <v>175</v>
      </c>
      <c r="C6" s="25" t="s">
        <v>515</v>
      </c>
      <c r="D6" s="25" t="s">
        <v>507</v>
      </c>
      <c r="E6" s="25" t="s">
        <v>516</v>
      </c>
      <c r="F6" s="25" t="s">
        <v>508</v>
      </c>
      <c r="G6" s="25" t="s">
        <v>509</v>
      </c>
      <c r="H6" s="25" t="s">
        <v>517</v>
      </c>
      <c r="I6" s="25" t="s">
        <v>518</v>
      </c>
      <c r="J6" s="25" t="s">
        <v>519</v>
      </c>
      <c r="K6" s="25" t="s">
        <v>520</v>
      </c>
      <c r="L6" s="25" t="s">
        <v>182</v>
      </c>
      <c r="M6" s="25" t="s">
        <v>183</v>
      </c>
      <c r="N6" s="28" t="s">
        <v>514</v>
      </c>
      <c r="O6" s="28"/>
      <c r="P6" s="28"/>
      <c r="Q6" s="28"/>
    </row>
    <row r="7" spans="1:17" ht="26" x14ac:dyDescent="0.35">
      <c r="A7" s="25" t="s">
        <v>190</v>
      </c>
      <c r="B7" s="25" t="s">
        <v>175</v>
      </c>
      <c r="C7" s="25" t="s">
        <v>25</v>
      </c>
      <c r="D7" s="25" t="s">
        <v>507</v>
      </c>
      <c r="E7" s="25" t="s">
        <v>191</v>
      </c>
      <c r="F7" s="25" t="s">
        <v>508</v>
      </c>
      <c r="G7" s="25" t="s">
        <v>509</v>
      </c>
      <c r="H7" s="25" t="s">
        <v>521</v>
      </c>
      <c r="I7" s="25" t="s">
        <v>522</v>
      </c>
      <c r="J7" s="25" t="s">
        <v>523</v>
      </c>
      <c r="K7" s="25" t="s">
        <v>524</v>
      </c>
      <c r="L7" s="25" t="s">
        <v>182</v>
      </c>
      <c r="M7" s="25" t="s">
        <v>183</v>
      </c>
      <c r="N7" s="28" t="s">
        <v>514</v>
      </c>
      <c r="O7" s="28"/>
      <c r="P7" s="28"/>
      <c r="Q7" s="28"/>
    </row>
    <row r="8" spans="1:17" ht="52" x14ac:dyDescent="0.35">
      <c r="A8" s="25" t="s">
        <v>196</v>
      </c>
      <c r="B8" s="25" t="s">
        <v>175</v>
      </c>
      <c r="C8" s="25" t="s">
        <v>23</v>
      </c>
      <c r="D8" s="25" t="s">
        <v>507</v>
      </c>
      <c r="E8" s="25" t="s">
        <v>191</v>
      </c>
      <c r="F8" s="25" t="s">
        <v>508</v>
      </c>
      <c r="G8" s="25" t="s">
        <v>509</v>
      </c>
      <c r="H8" s="25" t="s">
        <v>525</v>
      </c>
      <c r="I8" s="25" t="s">
        <v>526</v>
      </c>
      <c r="J8" s="25" t="s">
        <v>527</v>
      </c>
      <c r="K8" s="25" t="s">
        <v>528</v>
      </c>
      <c r="L8" s="25" t="s">
        <v>529</v>
      </c>
      <c r="M8" s="25" t="s">
        <v>183</v>
      </c>
      <c r="N8" s="28" t="s">
        <v>514</v>
      </c>
      <c r="O8" s="28"/>
      <c r="P8" s="28"/>
      <c r="Q8" s="28"/>
    </row>
    <row r="9" spans="1:17" ht="39" x14ac:dyDescent="0.35">
      <c r="A9" s="25" t="s">
        <v>202</v>
      </c>
      <c r="B9" s="25" t="s">
        <v>175</v>
      </c>
      <c r="C9" s="25" t="s">
        <v>23</v>
      </c>
      <c r="D9" s="25" t="s">
        <v>507</v>
      </c>
      <c r="E9" s="25" t="s">
        <v>191</v>
      </c>
      <c r="F9" s="25" t="s">
        <v>508</v>
      </c>
      <c r="G9" s="25" t="s">
        <v>509</v>
      </c>
      <c r="H9" s="25" t="s">
        <v>530</v>
      </c>
      <c r="I9" s="25" t="s">
        <v>531</v>
      </c>
      <c r="J9" s="25" t="s">
        <v>532</v>
      </c>
      <c r="K9" s="25" t="s">
        <v>533</v>
      </c>
      <c r="L9" s="25" t="s">
        <v>529</v>
      </c>
      <c r="M9" s="25" t="s">
        <v>183</v>
      </c>
      <c r="N9" s="28" t="s">
        <v>514</v>
      </c>
      <c r="O9" s="28"/>
      <c r="P9" s="28"/>
      <c r="Q9" s="28"/>
    </row>
    <row r="10" spans="1:17" ht="39" x14ac:dyDescent="0.35">
      <c r="A10" s="25" t="s">
        <v>207</v>
      </c>
      <c r="B10" s="25" t="s">
        <v>175</v>
      </c>
      <c r="C10" s="25" t="s">
        <v>515</v>
      </c>
      <c r="D10" s="25" t="s">
        <v>534</v>
      </c>
      <c r="E10" s="25" t="s">
        <v>535</v>
      </c>
      <c r="F10" s="25" t="s">
        <v>508</v>
      </c>
      <c r="G10" s="25" t="s">
        <v>509</v>
      </c>
      <c r="H10" s="25" t="s">
        <v>536</v>
      </c>
      <c r="I10" s="25" t="s">
        <v>537</v>
      </c>
      <c r="J10" s="25" t="s">
        <v>538</v>
      </c>
      <c r="K10" s="25" t="s">
        <v>539</v>
      </c>
      <c r="L10" s="25" t="s">
        <v>540</v>
      </c>
      <c r="M10" s="25" t="s">
        <v>183</v>
      </c>
      <c r="N10" s="28" t="s">
        <v>514</v>
      </c>
      <c r="O10" s="28"/>
      <c r="P10" s="28"/>
      <c r="Q10" s="28"/>
    </row>
    <row r="11" spans="1:17" ht="26" x14ac:dyDescent="0.35">
      <c r="A11" s="25" t="s">
        <v>214</v>
      </c>
      <c r="B11" s="25" t="s">
        <v>175</v>
      </c>
      <c r="C11" s="25" t="s">
        <v>19</v>
      </c>
      <c r="D11" s="25" t="s">
        <v>507</v>
      </c>
      <c r="E11" s="25" t="s">
        <v>191</v>
      </c>
      <c r="F11" s="25" t="s">
        <v>541</v>
      </c>
      <c r="G11" s="25" t="s">
        <v>509</v>
      </c>
      <c r="H11" s="25" t="s">
        <v>542</v>
      </c>
      <c r="I11" s="25" t="s">
        <v>543</v>
      </c>
      <c r="J11" s="25" t="s">
        <v>544</v>
      </c>
      <c r="K11" s="25" t="s">
        <v>545</v>
      </c>
      <c r="L11" s="25" t="s">
        <v>529</v>
      </c>
      <c r="M11" s="25" t="s">
        <v>219</v>
      </c>
      <c r="N11" s="28" t="s">
        <v>514</v>
      </c>
      <c r="O11" s="28"/>
      <c r="P11" s="28"/>
      <c r="Q11" s="28"/>
    </row>
    <row r="12" spans="1:17" ht="39" x14ac:dyDescent="0.35">
      <c r="A12" s="25" t="s">
        <v>220</v>
      </c>
      <c r="B12" s="25" t="s">
        <v>175</v>
      </c>
      <c r="C12" s="25" t="s">
        <v>19</v>
      </c>
      <c r="D12" s="25" t="s">
        <v>507</v>
      </c>
      <c r="E12" s="25" t="s">
        <v>546</v>
      </c>
      <c r="F12" s="25" t="s">
        <v>541</v>
      </c>
      <c r="G12" s="25" t="s">
        <v>509</v>
      </c>
      <c r="H12" s="25" t="s">
        <v>547</v>
      </c>
      <c r="I12" s="25" t="s">
        <v>548</v>
      </c>
      <c r="J12" s="25" t="s">
        <v>549</v>
      </c>
      <c r="K12" s="25" t="s">
        <v>550</v>
      </c>
      <c r="L12" s="25" t="s">
        <v>529</v>
      </c>
      <c r="M12" s="25" t="s">
        <v>219</v>
      </c>
      <c r="N12" s="28" t="s">
        <v>514</v>
      </c>
      <c r="O12" s="28"/>
      <c r="P12" s="28"/>
      <c r="Q12" s="28"/>
    </row>
    <row r="13" spans="1:17" ht="39" x14ac:dyDescent="0.35">
      <c r="A13" s="25" t="s">
        <v>226</v>
      </c>
      <c r="B13" s="25" t="s">
        <v>175</v>
      </c>
      <c r="C13" s="25" t="s">
        <v>17</v>
      </c>
      <c r="D13" s="25" t="s">
        <v>507</v>
      </c>
      <c r="E13" s="25" t="s">
        <v>191</v>
      </c>
      <c r="F13" s="25" t="s">
        <v>541</v>
      </c>
      <c r="G13" s="25" t="s">
        <v>509</v>
      </c>
      <c r="H13" s="25" t="s">
        <v>551</v>
      </c>
      <c r="I13" s="25" t="s">
        <v>552</v>
      </c>
      <c r="J13" s="25" t="s">
        <v>553</v>
      </c>
      <c r="K13" s="25" t="s">
        <v>554</v>
      </c>
      <c r="L13" s="25" t="s">
        <v>529</v>
      </c>
      <c r="M13" s="25" t="s">
        <v>219</v>
      </c>
      <c r="N13" s="28" t="s">
        <v>514</v>
      </c>
      <c r="O13" s="28"/>
      <c r="P13" s="28"/>
      <c r="Q13" s="28"/>
    </row>
    <row r="14" spans="1:17" ht="39" x14ac:dyDescent="0.35">
      <c r="A14" s="25" t="s">
        <v>231</v>
      </c>
      <c r="B14" s="25" t="s">
        <v>175</v>
      </c>
      <c r="C14" s="25" t="s">
        <v>17</v>
      </c>
      <c r="D14" s="25" t="s">
        <v>507</v>
      </c>
      <c r="E14" s="25" t="s">
        <v>191</v>
      </c>
      <c r="F14" s="25" t="s">
        <v>541</v>
      </c>
      <c r="G14" s="25" t="s">
        <v>509</v>
      </c>
      <c r="H14" s="25" t="s">
        <v>555</v>
      </c>
      <c r="I14" s="25" t="s">
        <v>556</v>
      </c>
      <c r="J14" s="25" t="s">
        <v>557</v>
      </c>
      <c r="K14" s="25" t="s">
        <v>558</v>
      </c>
      <c r="L14" s="25" t="s">
        <v>529</v>
      </c>
      <c r="M14" s="25" t="s">
        <v>219</v>
      </c>
      <c r="N14" s="28" t="s">
        <v>514</v>
      </c>
      <c r="O14" s="28"/>
      <c r="P14" s="28"/>
      <c r="Q14" s="28"/>
    </row>
    <row r="15" spans="1:17" ht="39" x14ac:dyDescent="0.35">
      <c r="A15" s="25" t="s">
        <v>236</v>
      </c>
      <c r="B15" s="25" t="s">
        <v>175</v>
      </c>
      <c r="C15" s="25" t="s">
        <v>17</v>
      </c>
      <c r="D15" s="25" t="s">
        <v>507</v>
      </c>
      <c r="E15" s="25" t="s">
        <v>191</v>
      </c>
      <c r="F15" s="25" t="s">
        <v>541</v>
      </c>
      <c r="G15" s="25" t="s">
        <v>509</v>
      </c>
      <c r="H15" s="25" t="s">
        <v>559</v>
      </c>
      <c r="I15" s="25" t="s">
        <v>560</v>
      </c>
      <c r="J15" s="25" t="s">
        <v>561</v>
      </c>
      <c r="K15" s="25" t="s">
        <v>562</v>
      </c>
      <c r="L15" s="25" t="s">
        <v>529</v>
      </c>
      <c r="M15" s="25" t="s">
        <v>219</v>
      </c>
      <c r="N15" s="28" t="s">
        <v>514</v>
      </c>
      <c r="O15" s="28"/>
      <c r="P15" s="28"/>
      <c r="Q15" s="28"/>
    </row>
    <row r="16" spans="1:17" ht="26" x14ac:dyDescent="0.35">
      <c r="A16" s="25" t="s">
        <v>241</v>
      </c>
      <c r="B16" s="25" t="s">
        <v>175</v>
      </c>
      <c r="C16" s="25" t="s">
        <v>17</v>
      </c>
      <c r="D16" s="25" t="s">
        <v>534</v>
      </c>
      <c r="E16" s="25" t="s">
        <v>535</v>
      </c>
      <c r="F16" s="25" t="s">
        <v>541</v>
      </c>
      <c r="G16" s="25" t="s">
        <v>563</v>
      </c>
      <c r="H16" s="25" t="s">
        <v>564</v>
      </c>
      <c r="I16" s="25" t="s">
        <v>565</v>
      </c>
      <c r="J16" s="25" t="s">
        <v>566</v>
      </c>
      <c r="K16" s="25" t="s">
        <v>567</v>
      </c>
      <c r="L16" s="25" t="s">
        <v>540</v>
      </c>
      <c r="M16" s="25" t="s">
        <v>219</v>
      </c>
      <c r="N16" s="28" t="s">
        <v>514</v>
      </c>
      <c r="O16" s="28"/>
      <c r="P16" s="28"/>
      <c r="Q16" s="28"/>
    </row>
    <row r="17" spans="1:17" ht="104" x14ac:dyDescent="0.35">
      <c r="A17" s="25" t="s">
        <v>49</v>
      </c>
      <c r="B17" s="25" t="s">
        <v>175</v>
      </c>
      <c r="C17" s="25" t="s">
        <v>21</v>
      </c>
      <c r="D17" s="25" t="s">
        <v>507</v>
      </c>
      <c r="E17" s="25" t="s">
        <v>191</v>
      </c>
      <c r="F17" s="25" t="s">
        <v>568</v>
      </c>
      <c r="G17" s="25" t="s">
        <v>563</v>
      </c>
      <c r="H17" s="25" t="s">
        <v>569</v>
      </c>
      <c r="I17" s="25" t="s">
        <v>570</v>
      </c>
      <c r="J17" s="25" t="s">
        <v>571</v>
      </c>
      <c r="K17" s="25" t="s">
        <v>572</v>
      </c>
      <c r="L17" s="25" t="s">
        <v>529</v>
      </c>
      <c r="M17" s="25" t="s">
        <v>251</v>
      </c>
      <c r="N17" s="28" t="s">
        <v>514</v>
      </c>
      <c r="O17" s="28"/>
      <c r="P17" s="28"/>
      <c r="Q17" s="28" t="s">
        <v>573</v>
      </c>
    </row>
    <row r="18" spans="1:17" ht="39" x14ac:dyDescent="0.35">
      <c r="A18" s="25" t="s">
        <v>253</v>
      </c>
      <c r="B18" s="25" t="s">
        <v>175</v>
      </c>
      <c r="C18" s="25" t="s">
        <v>21</v>
      </c>
      <c r="D18" s="25" t="s">
        <v>507</v>
      </c>
      <c r="E18" s="25" t="s">
        <v>191</v>
      </c>
      <c r="F18" s="25" t="s">
        <v>541</v>
      </c>
      <c r="G18" s="25" t="s">
        <v>509</v>
      </c>
      <c r="H18" s="25" t="s">
        <v>574</v>
      </c>
      <c r="I18" s="25" t="s">
        <v>575</v>
      </c>
      <c r="J18" s="25" t="s">
        <v>576</v>
      </c>
      <c r="K18" s="25" t="s">
        <v>577</v>
      </c>
      <c r="L18" s="25" t="s">
        <v>529</v>
      </c>
      <c r="M18" s="25" t="s">
        <v>219</v>
      </c>
      <c r="N18" s="28" t="s">
        <v>514</v>
      </c>
      <c r="O18" s="28"/>
      <c r="P18" s="28"/>
      <c r="Q18" s="28"/>
    </row>
    <row r="19" spans="1:17" ht="39" x14ac:dyDescent="0.35">
      <c r="A19" s="25" t="s">
        <v>258</v>
      </c>
      <c r="B19" s="25" t="s">
        <v>175</v>
      </c>
      <c r="C19" s="25" t="s">
        <v>21</v>
      </c>
      <c r="D19" s="25" t="s">
        <v>507</v>
      </c>
      <c r="E19" s="25" t="s">
        <v>191</v>
      </c>
      <c r="F19" s="25" t="s">
        <v>541</v>
      </c>
      <c r="G19" s="25" t="s">
        <v>509</v>
      </c>
      <c r="H19" s="25" t="s">
        <v>578</v>
      </c>
      <c r="I19" s="25" t="s">
        <v>579</v>
      </c>
      <c r="J19" s="25" t="s">
        <v>580</v>
      </c>
      <c r="K19" s="25" t="s">
        <v>581</v>
      </c>
      <c r="L19" s="25" t="s">
        <v>529</v>
      </c>
      <c r="M19" s="25" t="s">
        <v>219</v>
      </c>
      <c r="N19" s="28" t="s">
        <v>514</v>
      </c>
      <c r="O19" s="28"/>
      <c r="P19" s="28"/>
      <c r="Q19" s="28"/>
    </row>
    <row r="20" spans="1:17" ht="39" x14ac:dyDescent="0.35">
      <c r="A20" s="25" t="s">
        <v>263</v>
      </c>
      <c r="B20" s="25" t="s">
        <v>175</v>
      </c>
      <c r="C20" s="25" t="s">
        <v>19</v>
      </c>
      <c r="D20" s="25" t="s">
        <v>507</v>
      </c>
      <c r="E20" s="25" t="s">
        <v>191</v>
      </c>
      <c r="F20" s="25" t="s">
        <v>541</v>
      </c>
      <c r="G20" s="25" t="s">
        <v>509</v>
      </c>
      <c r="H20" s="25" t="s">
        <v>582</v>
      </c>
      <c r="I20" s="25" t="s">
        <v>583</v>
      </c>
      <c r="J20" s="25" t="s">
        <v>584</v>
      </c>
      <c r="K20" s="25" t="s">
        <v>585</v>
      </c>
      <c r="L20" s="25" t="s">
        <v>529</v>
      </c>
      <c r="M20" s="25" t="s">
        <v>219</v>
      </c>
      <c r="N20" s="28" t="s">
        <v>514</v>
      </c>
      <c r="O20" s="28"/>
      <c r="P20" s="28"/>
      <c r="Q20" s="28"/>
    </row>
    <row r="21" spans="1:17" ht="26" x14ac:dyDescent="0.35">
      <c r="A21" s="25" t="s">
        <v>268</v>
      </c>
      <c r="B21" s="25" t="s">
        <v>175</v>
      </c>
      <c r="C21" s="25" t="s">
        <v>23</v>
      </c>
      <c r="D21" s="25" t="s">
        <v>507</v>
      </c>
      <c r="E21" s="25" t="s">
        <v>191</v>
      </c>
      <c r="F21" s="25" t="s">
        <v>541</v>
      </c>
      <c r="G21" s="25" t="s">
        <v>509</v>
      </c>
      <c r="H21" s="25" t="s">
        <v>586</v>
      </c>
      <c r="I21" s="25" t="s">
        <v>587</v>
      </c>
      <c r="J21" s="25" t="s">
        <v>588</v>
      </c>
      <c r="K21" s="25" t="s">
        <v>589</v>
      </c>
      <c r="L21" s="25" t="s">
        <v>529</v>
      </c>
      <c r="M21" s="25" t="s">
        <v>219</v>
      </c>
      <c r="N21" s="28" t="s">
        <v>514</v>
      </c>
      <c r="O21" s="28"/>
      <c r="P21" s="28"/>
      <c r="Q21" s="28"/>
    </row>
    <row r="22" spans="1:17" ht="39" x14ac:dyDescent="0.35">
      <c r="A22" s="25" t="s">
        <v>273</v>
      </c>
      <c r="B22" s="25" t="s">
        <v>175</v>
      </c>
      <c r="C22" s="25" t="s">
        <v>19</v>
      </c>
      <c r="D22" s="25" t="s">
        <v>507</v>
      </c>
      <c r="E22" s="25" t="s">
        <v>590</v>
      </c>
      <c r="F22" s="25" t="s">
        <v>541</v>
      </c>
      <c r="G22" s="25" t="s">
        <v>563</v>
      </c>
      <c r="H22" s="25" t="s">
        <v>591</v>
      </c>
      <c r="I22" s="25" t="s">
        <v>592</v>
      </c>
      <c r="J22" s="25" t="s">
        <v>593</v>
      </c>
      <c r="K22" s="25" t="s">
        <v>594</v>
      </c>
      <c r="L22" s="25" t="s">
        <v>529</v>
      </c>
      <c r="M22" s="25" t="s">
        <v>219</v>
      </c>
      <c r="N22" s="28" t="s">
        <v>514</v>
      </c>
      <c r="O22" s="28"/>
      <c r="P22" s="28"/>
      <c r="Q22" s="28"/>
    </row>
    <row r="23" spans="1:17" ht="39" x14ac:dyDescent="0.35">
      <c r="A23" s="25" t="s">
        <v>279</v>
      </c>
      <c r="B23" s="25" t="s">
        <v>175</v>
      </c>
      <c r="C23" s="25" t="s">
        <v>23</v>
      </c>
      <c r="D23" s="25" t="s">
        <v>507</v>
      </c>
      <c r="E23" s="25" t="s">
        <v>191</v>
      </c>
      <c r="F23" s="25" t="s">
        <v>541</v>
      </c>
      <c r="G23" s="25" t="s">
        <v>509</v>
      </c>
      <c r="H23" s="25" t="s">
        <v>595</v>
      </c>
      <c r="I23" s="25" t="s">
        <v>596</v>
      </c>
      <c r="J23" s="25" t="s">
        <v>597</v>
      </c>
      <c r="K23" s="25" t="s">
        <v>598</v>
      </c>
      <c r="L23" s="25" t="s">
        <v>529</v>
      </c>
      <c r="M23" s="25" t="s">
        <v>219</v>
      </c>
      <c r="N23" s="28" t="s">
        <v>514</v>
      </c>
      <c r="O23" s="28"/>
      <c r="P23" s="28"/>
      <c r="Q23" s="28"/>
    </row>
    <row r="24" spans="1:17" ht="39" x14ac:dyDescent="0.35">
      <c r="A24" s="25" t="s">
        <v>284</v>
      </c>
      <c r="B24" s="25" t="s">
        <v>175</v>
      </c>
      <c r="C24" s="25" t="s">
        <v>515</v>
      </c>
      <c r="D24" s="25" t="s">
        <v>599</v>
      </c>
      <c r="E24" s="25" t="s">
        <v>600</v>
      </c>
      <c r="F24" s="25" t="s">
        <v>541</v>
      </c>
      <c r="G24" s="25" t="s">
        <v>509</v>
      </c>
      <c r="H24" s="25" t="s">
        <v>601</v>
      </c>
      <c r="I24" s="25" t="s">
        <v>602</v>
      </c>
      <c r="J24" s="25" t="s">
        <v>603</v>
      </c>
      <c r="K24" s="25" t="s">
        <v>604</v>
      </c>
      <c r="L24" s="25" t="s">
        <v>290</v>
      </c>
      <c r="M24" s="25" t="s">
        <v>219</v>
      </c>
      <c r="N24" s="28" t="s">
        <v>514</v>
      </c>
      <c r="O24" s="28"/>
      <c r="P24" s="28"/>
      <c r="Q24" s="28"/>
    </row>
    <row r="25" spans="1:17" ht="39" x14ac:dyDescent="0.35">
      <c r="A25" s="25" t="s">
        <v>291</v>
      </c>
      <c r="B25" s="25" t="s">
        <v>175</v>
      </c>
      <c r="C25" s="25" t="s">
        <v>515</v>
      </c>
      <c r="D25" s="25" t="s">
        <v>534</v>
      </c>
      <c r="E25" s="25" t="s">
        <v>535</v>
      </c>
      <c r="F25" s="25" t="s">
        <v>541</v>
      </c>
      <c r="G25" s="25" t="s">
        <v>509</v>
      </c>
      <c r="H25" s="25" t="s">
        <v>605</v>
      </c>
      <c r="I25" s="25" t="s">
        <v>606</v>
      </c>
      <c r="J25" s="25" t="s">
        <v>607</v>
      </c>
      <c r="K25" s="25" t="s">
        <v>608</v>
      </c>
      <c r="L25" s="25" t="s">
        <v>529</v>
      </c>
      <c r="M25" s="25" t="s">
        <v>219</v>
      </c>
      <c r="N25" s="28" t="s">
        <v>514</v>
      </c>
      <c r="O25" s="28"/>
      <c r="P25" s="28"/>
      <c r="Q25" s="28"/>
    </row>
    <row r="26" spans="1:17" ht="39" x14ac:dyDescent="0.35">
      <c r="A26" s="25" t="s">
        <v>296</v>
      </c>
      <c r="B26" s="25" t="s">
        <v>175</v>
      </c>
      <c r="C26" s="25" t="s">
        <v>515</v>
      </c>
      <c r="D26" s="25" t="s">
        <v>507</v>
      </c>
      <c r="E26" s="25" t="s">
        <v>609</v>
      </c>
      <c r="F26" s="25" t="s">
        <v>541</v>
      </c>
      <c r="G26" s="25" t="s">
        <v>509</v>
      </c>
      <c r="H26" s="25" t="s">
        <v>610</v>
      </c>
      <c r="I26" s="25" t="s">
        <v>611</v>
      </c>
      <c r="J26" s="25" t="s">
        <v>612</v>
      </c>
      <c r="K26" s="25" t="s">
        <v>613</v>
      </c>
      <c r="L26" s="25" t="s">
        <v>529</v>
      </c>
      <c r="M26" s="25" t="s">
        <v>219</v>
      </c>
      <c r="N26" s="28" t="s">
        <v>514</v>
      </c>
      <c r="O26" s="28"/>
      <c r="P26" s="28"/>
      <c r="Q26" s="28"/>
    </row>
    <row r="27" spans="1:17" ht="26" x14ac:dyDescent="0.35">
      <c r="A27" s="25" t="s">
        <v>302</v>
      </c>
      <c r="B27" s="25" t="s">
        <v>175</v>
      </c>
      <c r="C27" s="25" t="s">
        <v>515</v>
      </c>
      <c r="D27" s="25" t="s">
        <v>534</v>
      </c>
      <c r="E27" s="25" t="s">
        <v>535</v>
      </c>
      <c r="F27" s="25" t="s">
        <v>541</v>
      </c>
      <c r="G27" s="25" t="s">
        <v>563</v>
      </c>
      <c r="H27" s="25" t="s">
        <v>614</v>
      </c>
      <c r="I27" s="25" t="s">
        <v>615</v>
      </c>
      <c r="J27" s="25" t="s">
        <v>616</v>
      </c>
      <c r="K27" s="25" t="s">
        <v>617</v>
      </c>
      <c r="L27" s="25" t="s">
        <v>529</v>
      </c>
      <c r="M27" s="25" t="s">
        <v>219</v>
      </c>
      <c r="N27" s="28" t="s">
        <v>514</v>
      </c>
      <c r="O27" s="28"/>
      <c r="P27" s="28"/>
      <c r="Q27" s="28"/>
    </row>
    <row r="28" spans="1:17" ht="26" x14ac:dyDescent="0.35">
      <c r="A28" s="25" t="s">
        <v>307</v>
      </c>
      <c r="B28" s="25" t="s">
        <v>175</v>
      </c>
      <c r="C28" s="25" t="s">
        <v>21</v>
      </c>
      <c r="D28" s="25" t="s">
        <v>618</v>
      </c>
      <c r="E28" s="25" t="s">
        <v>619</v>
      </c>
      <c r="F28" s="25" t="s">
        <v>541</v>
      </c>
      <c r="G28" s="25" t="s">
        <v>509</v>
      </c>
      <c r="H28" s="25" t="s">
        <v>620</v>
      </c>
      <c r="I28" s="25" t="s">
        <v>621</v>
      </c>
      <c r="J28" s="25" t="s">
        <v>622</v>
      </c>
      <c r="K28" s="25" t="s">
        <v>623</v>
      </c>
      <c r="L28" s="25" t="s">
        <v>182</v>
      </c>
      <c r="M28" s="25" t="s">
        <v>219</v>
      </c>
      <c r="N28" s="28" t="s">
        <v>514</v>
      </c>
      <c r="O28" s="28"/>
      <c r="P28" s="28"/>
      <c r="Q28" s="28"/>
    </row>
    <row r="29" spans="1:17" ht="52" x14ac:dyDescent="0.35">
      <c r="A29" s="25" t="s">
        <v>313</v>
      </c>
      <c r="B29" s="25" t="s">
        <v>175</v>
      </c>
      <c r="C29" s="25" t="s">
        <v>23</v>
      </c>
      <c r="D29" s="25" t="s">
        <v>507</v>
      </c>
      <c r="E29" s="25" t="s">
        <v>590</v>
      </c>
      <c r="F29" s="25" t="s">
        <v>541</v>
      </c>
      <c r="G29" s="25" t="s">
        <v>563</v>
      </c>
      <c r="H29" s="25" t="s">
        <v>624</v>
      </c>
      <c r="I29" s="25" t="s">
        <v>625</v>
      </c>
      <c r="J29" s="25" t="s">
        <v>626</v>
      </c>
      <c r="K29" s="25" t="s">
        <v>627</v>
      </c>
      <c r="L29" s="25" t="s">
        <v>529</v>
      </c>
      <c r="M29" s="25" t="s">
        <v>219</v>
      </c>
      <c r="N29" s="28" t="s">
        <v>514</v>
      </c>
      <c r="O29" s="28"/>
      <c r="P29" s="28"/>
      <c r="Q29" s="28"/>
    </row>
    <row r="30" spans="1:17" ht="39" x14ac:dyDescent="0.35">
      <c r="A30" s="25" t="s">
        <v>318</v>
      </c>
      <c r="B30" s="25" t="s">
        <v>175</v>
      </c>
      <c r="C30" s="25" t="s">
        <v>19</v>
      </c>
      <c r="D30" s="25" t="s">
        <v>507</v>
      </c>
      <c r="E30" s="25" t="s">
        <v>609</v>
      </c>
      <c r="F30" s="25" t="s">
        <v>568</v>
      </c>
      <c r="G30" s="25" t="s">
        <v>563</v>
      </c>
      <c r="H30" s="25" t="s">
        <v>628</v>
      </c>
      <c r="I30" s="25" t="s">
        <v>629</v>
      </c>
      <c r="J30" s="25" t="s">
        <v>630</v>
      </c>
      <c r="K30" s="25" t="s">
        <v>631</v>
      </c>
      <c r="L30" s="25" t="s">
        <v>529</v>
      </c>
      <c r="M30" s="25" t="s">
        <v>251</v>
      </c>
      <c r="N30" s="28" t="s">
        <v>514</v>
      </c>
      <c r="O30" s="28"/>
      <c r="P30" s="28"/>
      <c r="Q30" s="28"/>
    </row>
    <row r="31" spans="1:17" ht="26" x14ac:dyDescent="0.35">
      <c r="A31" s="25" t="s">
        <v>323</v>
      </c>
      <c r="B31" s="25" t="s">
        <v>175</v>
      </c>
      <c r="C31" s="25" t="s">
        <v>17</v>
      </c>
      <c r="D31" s="25" t="s">
        <v>507</v>
      </c>
      <c r="E31" s="25" t="s">
        <v>191</v>
      </c>
      <c r="F31" s="25" t="s">
        <v>568</v>
      </c>
      <c r="G31" s="25" t="s">
        <v>563</v>
      </c>
      <c r="H31" s="25" t="s">
        <v>632</v>
      </c>
      <c r="I31" s="25" t="s">
        <v>633</v>
      </c>
      <c r="J31" s="25" t="s">
        <v>634</v>
      </c>
      <c r="K31" s="25" t="s">
        <v>635</v>
      </c>
      <c r="L31" s="25" t="s">
        <v>328</v>
      </c>
      <c r="M31" s="25" t="s">
        <v>251</v>
      </c>
      <c r="N31" s="28" t="s">
        <v>514</v>
      </c>
      <c r="O31" s="28"/>
      <c r="P31" s="28"/>
      <c r="Q31" s="28"/>
    </row>
    <row r="32" spans="1:17" ht="26" x14ac:dyDescent="0.35">
      <c r="A32" s="25" t="s">
        <v>329</v>
      </c>
      <c r="B32" s="25" t="s">
        <v>175</v>
      </c>
      <c r="C32" s="25" t="s">
        <v>19</v>
      </c>
      <c r="D32" s="25" t="s">
        <v>618</v>
      </c>
      <c r="E32" s="25" t="s">
        <v>619</v>
      </c>
      <c r="F32" s="25" t="s">
        <v>568</v>
      </c>
      <c r="G32" s="25" t="s">
        <v>563</v>
      </c>
      <c r="H32" s="25" t="s">
        <v>636</v>
      </c>
      <c r="I32" s="25" t="s">
        <v>637</v>
      </c>
      <c r="J32" s="25" t="s">
        <v>638</v>
      </c>
      <c r="K32" s="25" t="s">
        <v>639</v>
      </c>
      <c r="L32" s="25" t="s">
        <v>328</v>
      </c>
      <c r="M32" s="25" t="s">
        <v>251</v>
      </c>
      <c r="N32" s="28" t="s">
        <v>514</v>
      </c>
      <c r="O32" s="28"/>
      <c r="P32" s="28"/>
      <c r="Q32" s="28"/>
    </row>
    <row r="33" spans="1:17" ht="26" x14ac:dyDescent="0.35">
      <c r="A33" s="25" t="s">
        <v>334</v>
      </c>
      <c r="B33" s="25" t="s">
        <v>175</v>
      </c>
      <c r="C33" s="25" t="s">
        <v>23</v>
      </c>
      <c r="D33" s="25" t="s">
        <v>534</v>
      </c>
      <c r="E33" s="25" t="s">
        <v>640</v>
      </c>
      <c r="F33" s="25" t="s">
        <v>568</v>
      </c>
      <c r="G33" s="25" t="s">
        <v>563</v>
      </c>
      <c r="H33" s="25" t="s">
        <v>641</v>
      </c>
      <c r="I33" s="25" t="s">
        <v>642</v>
      </c>
      <c r="J33" s="25" t="s">
        <v>643</v>
      </c>
      <c r="K33" s="25" t="s">
        <v>644</v>
      </c>
      <c r="L33" s="25" t="s">
        <v>328</v>
      </c>
      <c r="M33" s="25" t="s">
        <v>251</v>
      </c>
      <c r="N33" s="28" t="s">
        <v>514</v>
      </c>
      <c r="O33" s="28"/>
      <c r="P33" s="28"/>
      <c r="Q33" s="28"/>
    </row>
    <row r="34" spans="1:17" ht="26" x14ac:dyDescent="0.35">
      <c r="A34" s="25" t="s">
        <v>340</v>
      </c>
      <c r="B34" s="25" t="s">
        <v>175</v>
      </c>
      <c r="C34" s="25" t="s">
        <v>19</v>
      </c>
      <c r="D34" s="25" t="s">
        <v>507</v>
      </c>
      <c r="E34" s="25" t="s">
        <v>590</v>
      </c>
      <c r="F34" s="25" t="s">
        <v>568</v>
      </c>
      <c r="G34" s="25" t="s">
        <v>563</v>
      </c>
      <c r="H34" s="25" t="s">
        <v>645</v>
      </c>
      <c r="I34" s="25" t="s">
        <v>646</v>
      </c>
      <c r="J34" s="25" t="s">
        <v>647</v>
      </c>
      <c r="K34" s="25" t="s">
        <v>648</v>
      </c>
      <c r="L34" s="25" t="s">
        <v>529</v>
      </c>
      <c r="M34" s="25" t="s">
        <v>251</v>
      </c>
      <c r="N34" s="28" t="s">
        <v>514</v>
      </c>
      <c r="O34" s="28"/>
      <c r="P34" s="28"/>
      <c r="Q34" s="28"/>
    </row>
    <row r="35" spans="1:17" ht="39" x14ac:dyDescent="0.35">
      <c r="A35" s="25" t="s">
        <v>345</v>
      </c>
      <c r="B35" s="25" t="s">
        <v>175</v>
      </c>
      <c r="C35" s="25" t="s">
        <v>21</v>
      </c>
      <c r="D35" s="25" t="s">
        <v>507</v>
      </c>
      <c r="E35" s="25" t="s">
        <v>590</v>
      </c>
      <c r="F35" s="25" t="s">
        <v>568</v>
      </c>
      <c r="G35" s="25" t="s">
        <v>563</v>
      </c>
      <c r="H35" s="25" t="s">
        <v>649</v>
      </c>
      <c r="I35" s="25" t="s">
        <v>650</v>
      </c>
      <c r="J35" s="25" t="s">
        <v>651</v>
      </c>
      <c r="K35" s="25" t="s">
        <v>652</v>
      </c>
      <c r="L35" s="25" t="s">
        <v>529</v>
      </c>
      <c r="M35" s="25" t="s">
        <v>251</v>
      </c>
      <c r="N35" s="28" t="s">
        <v>514</v>
      </c>
      <c r="O35" s="28"/>
      <c r="P35" s="28"/>
      <c r="Q35" s="28"/>
    </row>
    <row r="36" spans="1:17" ht="26" x14ac:dyDescent="0.35">
      <c r="A36" s="25" t="s">
        <v>350</v>
      </c>
      <c r="B36" s="25" t="s">
        <v>175</v>
      </c>
      <c r="C36" s="25" t="s">
        <v>21</v>
      </c>
      <c r="D36" s="25" t="s">
        <v>507</v>
      </c>
      <c r="E36" s="25" t="s">
        <v>590</v>
      </c>
      <c r="F36" s="25" t="s">
        <v>568</v>
      </c>
      <c r="G36" s="25" t="s">
        <v>563</v>
      </c>
      <c r="H36" s="25" t="s">
        <v>653</v>
      </c>
      <c r="I36" s="25" t="s">
        <v>654</v>
      </c>
      <c r="J36" s="25" t="s">
        <v>655</v>
      </c>
      <c r="K36" s="25" t="s">
        <v>656</v>
      </c>
      <c r="L36" s="25" t="s">
        <v>529</v>
      </c>
      <c r="M36" s="25" t="s">
        <v>251</v>
      </c>
      <c r="N36" s="28" t="s">
        <v>514</v>
      </c>
      <c r="O36" s="28"/>
      <c r="P36" s="28"/>
      <c r="Q36" s="28"/>
    </row>
    <row r="37" spans="1:17" ht="26" x14ac:dyDescent="0.35">
      <c r="A37" s="25" t="s">
        <v>355</v>
      </c>
      <c r="B37" s="25" t="s">
        <v>175</v>
      </c>
      <c r="C37" s="25" t="s">
        <v>19</v>
      </c>
      <c r="D37" s="25" t="s">
        <v>618</v>
      </c>
      <c r="E37" s="25" t="s">
        <v>619</v>
      </c>
      <c r="F37" s="25" t="s">
        <v>568</v>
      </c>
      <c r="G37" s="25" t="s">
        <v>563</v>
      </c>
      <c r="H37" s="25" t="s">
        <v>657</v>
      </c>
      <c r="I37" s="25" t="s">
        <v>658</v>
      </c>
      <c r="J37" s="25" t="s">
        <v>659</v>
      </c>
      <c r="K37" s="25" t="s">
        <v>660</v>
      </c>
      <c r="L37" s="25" t="s">
        <v>328</v>
      </c>
      <c r="M37" s="25" t="s">
        <v>251</v>
      </c>
      <c r="N37" s="28" t="s">
        <v>514</v>
      </c>
      <c r="O37" s="28"/>
      <c r="P37" s="28"/>
      <c r="Q37" s="28"/>
    </row>
    <row r="38" spans="1:17" ht="26" x14ac:dyDescent="0.35">
      <c r="A38" s="25" t="s">
        <v>360</v>
      </c>
      <c r="B38" s="25" t="s">
        <v>175</v>
      </c>
      <c r="C38" s="25" t="s">
        <v>23</v>
      </c>
      <c r="D38" s="25" t="s">
        <v>618</v>
      </c>
      <c r="E38" s="25" t="s">
        <v>619</v>
      </c>
      <c r="F38" s="25" t="s">
        <v>568</v>
      </c>
      <c r="G38" s="25" t="s">
        <v>563</v>
      </c>
      <c r="H38" s="25" t="s">
        <v>661</v>
      </c>
      <c r="I38" s="25" t="s">
        <v>662</v>
      </c>
      <c r="J38" s="25" t="s">
        <v>663</v>
      </c>
      <c r="K38" s="25" t="s">
        <v>664</v>
      </c>
      <c r="L38" s="25" t="s">
        <v>328</v>
      </c>
      <c r="M38" s="25" t="s">
        <v>251</v>
      </c>
      <c r="N38" s="28" t="s">
        <v>514</v>
      </c>
      <c r="O38" s="28"/>
      <c r="P38" s="28"/>
      <c r="Q38" s="28"/>
    </row>
    <row r="39" spans="1:17" ht="26" x14ac:dyDescent="0.35">
      <c r="A39" s="25" t="s">
        <v>365</v>
      </c>
      <c r="B39" s="25" t="s">
        <v>175</v>
      </c>
      <c r="C39" s="25" t="s">
        <v>515</v>
      </c>
      <c r="D39" s="25" t="s">
        <v>618</v>
      </c>
      <c r="E39" s="25" t="s">
        <v>619</v>
      </c>
      <c r="F39" s="25" t="s">
        <v>568</v>
      </c>
      <c r="G39" s="25" t="s">
        <v>509</v>
      </c>
      <c r="H39" s="25" t="s">
        <v>665</v>
      </c>
      <c r="I39" s="25" t="s">
        <v>666</v>
      </c>
      <c r="J39" s="25" t="s">
        <v>667</v>
      </c>
      <c r="K39" s="25" t="s">
        <v>668</v>
      </c>
      <c r="L39" s="25" t="s">
        <v>370</v>
      </c>
      <c r="M39" s="25" t="s">
        <v>251</v>
      </c>
      <c r="N39" s="28" t="s">
        <v>514</v>
      </c>
      <c r="O39" s="28"/>
      <c r="P39" s="28"/>
      <c r="Q39" s="28"/>
    </row>
    <row r="40" spans="1:17" ht="26" x14ac:dyDescent="0.35">
      <c r="A40" s="25" t="s">
        <v>371</v>
      </c>
      <c r="B40" s="25" t="s">
        <v>175</v>
      </c>
      <c r="C40" s="25" t="s">
        <v>17</v>
      </c>
      <c r="D40" s="25" t="s">
        <v>618</v>
      </c>
      <c r="E40" s="25" t="s">
        <v>619</v>
      </c>
      <c r="F40" s="25" t="s">
        <v>568</v>
      </c>
      <c r="G40" s="25" t="s">
        <v>563</v>
      </c>
      <c r="H40" s="25" t="s">
        <v>669</v>
      </c>
      <c r="I40" s="25" t="s">
        <v>670</v>
      </c>
      <c r="J40" s="25" t="s">
        <v>671</v>
      </c>
      <c r="K40" s="25" t="s">
        <v>672</v>
      </c>
      <c r="L40" s="25" t="s">
        <v>328</v>
      </c>
      <c r="M40" s="25" t="s">
        <v>251</v>
      </c>
      <c r="N40" s="28" t="s">
        <v>514</v>
      </c>
      <c r="O40" s="28"/>
      <c r="P40" s="28"/>
      <c r="Q40" s="28"/>
    </row>
    <row r="41" spans="1:17" ht="39" x14ac:dyDescent="0.35">
      <c r="A41" s="25" t="s">
        <v>376</v>
      </c>
      <c r="B41" s="25" t="s">
        <v>175</v>
      </c>
      <c r="C41" s="25" t="s">
        <v>23</v>
      </c>
      <c r="D41" s="25" t="s">
        <v>618</v>
      </c>
      <c r="E41" s="25" t="s">
        <v>619</v>
      </c>
      <c r="F41" s="25" t="s">
        <v>568</v>
      </c>
      <c r="G41" s="25" t="s">
        <v>509</v>
      </c>
      <c r="H41" s="25" t="s">
        <v>673</v>
      </c>
      <c r="I41" s="25" t="s">
        <v>674</v>
      </c>
      <c r="J41" s="25" t="s">
        <v>675</v>
      </c>
      <c r="K41" s="25" t="s">
        <v>676</v>
      </c>
      <c r="L41" s="25" t="s">
        <v>381</v>
      </c>
      <c r="M41" s="25" t="s">
        <v>251</v>
      </c>
      <c r="N41" s="28" t="s">
        <v>514</v>
      </c>
      <c r="O41" s="28"/>
      <c r="P41" s="28"/>
      <c r="Q41" s="28"/>
    </row>
    <row r="42" spans="1:17" ht="26" x14ac:dyDescent="0.35">
      <c r="A42" s="25" t="s">
        <v>382</v>
      </c>
      <c r="B42" s="25" t="s">
        <v>175</v>
      </c>
      <c r="C42" s="25" t="s">
        <v>19</v>
      </c>
      <c r="D42" s="25" t="s">
        <v>618</v>
      </c>
      <c r="E42" s="25" t="s">
        <v>619</v>
      </c>
      <c r="F42" s="25" t="s">
        <v>677</v>
      </c>
      <c r="G42" s="25" t="s">
        <v>563</v>
      </c>
      <c r="H42" s="25" t="s">
        <v>678</v>
      </c>
      <c r="I42" s="25" t="s">
        <v>679</v>
      </c>
      <c r="J42" s="25" t="s">
        <v>680</v>
      </c>
      <c r="K42" s="25" t="s">
        <v>681</v>
      </c>
      <c r="L42" s="25" t="s">
        <v>328</v>
      </c>
      <c r="M42" s="25" t="s">
        <v>387</v>
      </c>
      <c r="N42" s="28" t="s">
        <v>514</v>
      </c>
      <c r="O42" s="28"/>
      <c r="P42" s="28"/>
      <c r="Q42" s="28"/>
    </row>
    <row r="43" spans="1:17" ht="52" x14ac:dyDescent="0.35">
      <c r="A43" s="25" t="s">
        <v>388</v>
      </c>
      <c r="B43" s="25" t="s">
        <v>175</v>
      </c>
      <c r="C43" s="25" t="s">
        <v>515</v>
      </c>
      <c r="D43" s="25" t="s">
        <v>534</v>
      </c>
      <c r="E43" s="25" t="s">
        <v>535</v>
      </c>
      <c r="F43" s="25" t="s">
        <v>568</v>
      </c>
      <c r="G43" s="25" t="s">
        <v>509</v>
      </c>
      <c r="H43" s="25" t="s">
        <v>682</v>
      </c>
      <c r="I43" s="25" t="s">
        <v>683</v>
      </c>
      <c r="J43" s="25" t="s">
        <v>684</v>
      </c>
      <c r="K43" s="25" t="s">
        <v>685</v>
      </c>
      <c r="L43" s="25" t="s">
        <v>290</v>
      </c>
      <c r="M43" s="25" t="s">
        <v>251</v>
      </c>
      <c r="N43" s="28" t="s">
        <v>514</v>
      </c>
      <c r="O43" s="28"/>
      <c r="P43" s="28"/>
      <c r="Q43" s="28"/>
    </row>
    <row r="44" spans="1:17" ht="39" x14ac:dyDescent="0.35">
      <c r="A44" s="25" t="s">
        <v>393</v>
      </c>
      <c r="B44" s="25" t="s">
        <v>175</v>
      </c>
      <c r="C44" s="25" t="s">
        <v>23</v>
      </c>
      <c r="D44" s="25" t="s">
        <v>534</v>
      </c>
      <c r="E44" s="25" t="s">
        <v>535</v>
      </c>
      <c r="F44" s="25" t="s">
        <v>568</v>
      </c>
      <c r="G44" s="25" t="s">
        <v>509</v>
      </c>
      <c r="H44" s="25" t="s">
        <v>686</v>
      </c>
      <c r="I44" s="25" t="s">
        <v>687</v>
      </c>
      <c r="J44" s="25" t="s">
        <v>688</v>
      </c>
      <c r="K44" s="25" t="s">
        <v>689</v>
      </c>
      <c r="L44" s="25" t="s">
        <v>529</v>
      </c>
      <c r="M44" s="25" t="s">
        <v>251</v>
      </c>
      <c r="N44" s="28" t="s">
        <v>514</v>
      </c>
      <c r="O44" s="28"/>
      <c r="P44" s="28"/>
      <c r="Q44" s="28"/>
    </row>
    <row r="45" spans="1:17" ht="26" x14ac:dyDescent="0.35">
      <c r="A45" s="25" t="s">
        <v>398</v>
      </c>
      <c r="B45" s="25" t="s">
        <v>175</v>
      </c>
      <c r="C45" s="25" t="s">
        <v>23</v>
      </c>
      <c r="D45" s="25" t="s">
        <v>534</v>
      </c>
      <c r="E45" s="25" t="s">
        <v>535</v>
      </c>
      <c r="F45" s="25" t="s">
        <v>568</v>
      </c>
      <c r="G45" s="25" t="s">
        <v>563</v>
      </c>
      <c r="H45" s="25" t="s">
        <v>690</v>
      </c>
      <c r="I45" s="25" t="s">
        <v>691</v>
      </c>
      <c r="J45" s="25" t="s">
        <v>692</v>
      </c>
      <c r="K45" s="25" t="s">
        <v>693</v>
      </c>
      <c r="L45" s="25" t="s">
        <v>529</v>
      </c>
      <c r="M45" s="25" t="s">
        <v>251</v>
      </c>
      <c r="N45" s="28" t="s">
        <v>514</v>
      </c>
      <c r="O45" s="28"/>
      <c r="P45" s="28"/>
      <c r="Q45" s="28"/>
    </row>
    <row r="46" spans="1:17" ht="39" x14ac:dyDescent="0.35">
      <c r="A46" s="25" t="s">
        <v>403</v>
      </c>
      <c r="B46" s="25" t="s">
        <v>175</v>
      </c>
      <c r="C46" s="25" t="s">
        <v>515</v>
      </c>
      <c r="D46" s="25" t="s">
        <v>534</v>
      </c>
      <c r="E46" s="25" t="s">
        <v>535</v>
      </c>
      <c r="F46" s="25" t="s">
        <v>568</v>
      </c>
      <c r="G46" s="25" t="s">
        <v>509</v>
      </c>
      <c r="H46" s="25" t="s">
        <v>694</v>
      </c>
      <c r="I46" s="25" t="s">
        <v>695</v>
      </c>
      <c r="J46" s="25" t="s">
        <v>696</v>
      </c>
      <c r="K46" s="25" t="s">
        <v>697</v>
      </c>
      <c r="L46" s="25" t="s">
        <v>540</v>
      </c>
      <c r="M46" s="25" t="s">
        <v>251</v>
      </c>
      <c r="N46" s="28" t="s">
        <v>514</v>
      </c>
      <c r="O46" s="28"/>
      <c r="P46" s="28"/>
      <c r="Q46" s="28"/>
    </row>
    <row r="47" spans="1:17" ht="39" x14ac:dyDescent="0.35">
      <c r="A47" s="25" t="s">
        <v>408</v>
      </c>
      <c r="B47" s="25" t="s">
        <v>175</v>
      </c>
      <c r="C47" s="25" t="s">
        <v>515</v>
      </c>
      <c r="D47" s="25" t="s">
        <v>698</v>
      </c>
      <c r="E47" s="25" t="s">
        <v>699</v>
      </c>
      <c r="F47" s="25" t="s">
        <v>541</v>
      </c>
      <c r="G47" s="25" t="s">
        <v>509</v>
      </c>
      <c r="H47" s="25" t="s">
        <v>700</v>
      </c>
      <c r="I47" s="25" t="s">
        <v>701</v>
      </c>
      <c r="J47" s="25" t="s">
        <v>702</v>
      </c>
      <c r="K47" s="25" t="s">
        <v>703</v>
      </c>
      <c r="L47" s="25" t="s">
        <v>381</v>
      </c>
      <c r="M47" s="25" t="s">
        <v>219</v>
      </c>
      <c r="N47" s="28" t="s">
        <v>514</v>
      </c>
      <c r="O47" s="28"/>
      <c r="P47" s="28"/>
      <c r="Q47" s="28"/>
    </row>
    <row r="48" spans="1:17" ht="39" x14ac:dyDescent="0.35">
      <c r="A48" s="25" t="s">
        <v>414</v>
      </c>
      <c r="B48" s="25" t="s">
        <v>175</v>
      </c>
      <c r="C48" s="25" t="s">
        <v>515</v>
      </c>
      <c r="D48" s="25" t="s">
        <v>33</v>
      </c>
      <c r="E48" s="25" t="s">
        <v>176</v>
      </c>
      <c r="F48" s="25" t="s">
        <v>541</v>
      </c>
      <c r="G48" s="25" t="s">
        <v>509</v>
      </c>
      <c r="H48" s="25" t="s">
        <v>704</v>
      </c>
      <c r="I48" s="25" t="s">
        <v>705</v>
      </c>
      <c r="J48" s="25" t="s">
        <v>706</v>
      </c>
      <c r="K48" s="25" t="s">
        <v>707</v>
      </c>
      <c r="L48" s="25" t="s">
        <v>182</v>
      </c>
      <c r="M48" s="25" t="s">
        <v>219</v>
      </c>
      <c r="N48" s="28" t="s">
        <v>514</v>
      </c>
      <c r="O48" s="28"/>
      <c r="P48" s="28"/>
      <c r="Q48" s="28"/>
    </row>
    <row r="49" spans="1:17" ht="39" x14ac:dyDescent="0.35">
      <c r="A49" s="25" t="s">
        <v>419</v>
      </c>
      <c r="B49" s="25" t="s">
        <v>175</v>
      </c>
      <c r="C49" s="25" t="s">
        <v>515</v>
      </c>
      <c r="D49" s="25" t="s">
        <v>599</v>
      </c>
      <c r="E49" s="25" t="s">
        <v>708</v>
      </c>
      <c r="F49" s="25" t="s">
        <v>541</v>
      </c>
      <c r="G49" s="25" t="s">
        <v>509</v>
      </c>
      <c r="H49" s="25" t="s">
        <v>709</v>
      </c>
      <c r="I49" s="25" t="s">
        <v>710</v>
      </c>
      <c r="J49" s="25" t="s">
        <v>711</v>
      </c>
      <c r="K49" s="25" t="s">
        <v>712</v>
      </c>
      <c r="L49" s="25" t="s">
        <v>540</v>
      </c>
      <c r="M49" s="25" t="s">
        <v>219</v>
      </c>
      <c r="N49" s="28" t="s">
        <v>514</v>
      </c>
      <c r="O49" s="28"/>
      <c r="P49" s="28"/>
      <c r="Q49" s="28"/>
    </row>
    <row r="50" spans="1:17" ht="39" x14ac:dyDescent="0.35">
      <c r="A50" s="25" t="s">
        <v>425</v>
      </c>
      <c r="B50" s="25" t="s">
        <v>175</v>
      </c>
      <c r="C50" s="25" t="s">
        <v>21</v>
      </c>
      <c r="D50" s="25" t="s">
        <v>507</v>
      </c>
      <c r="E50" s="25" t="s">
        <v>609</v>
      </c>
      <c r="F50" s="25" t="s">
        <v>568</v>
      </c>
      <c r="G50" s="25" t="s">
        <v>563</v>
      </c>
      <c r="H50" s="25" t="s">
        <v>713</v>
      </c>
      <c r="I50" s="25" t="s">
        <v>714</v>
      </c>
      <c r="J50" s="25" t="s">
        <v>715</v>
      </c>
      <c r="K50" s="25" t="s">
        <v>716</v>
      </c>
      <c r="L50" s="25" t="s">
        <v>529</v>
      </c>
      <c r="M50" s="25" t="s">
        <v>251</v>
      </c>
      <c r="N50" s="28" t="s">
        <v>514</v>
      </c>
      <c r="O50" s="28"/>
      <c r="P50" s="28"/>
      <c r="Q50" s="28"/>
    </row>
    <row r="51" spans="1:17" ht="39" x14ac:dyDescent="0.35">
      <c r="A51" s="25" t="s">
        <v>430</v>
      </c>
      <c r="B51" s="25" t="s">
        <v>175</v>
      </c>
      <c r="C51" s="25" t="s">
        <v>26</v>
      </c>
      <c r="D51" s="25" t="s">
        <v>507</v>
      </c>
      <c r="E51" s="25" t="s">
        <v>609</v>
      </c>
      <c r="F51" s="25" t="s">
        <v>541</v>
      </c>
      <c r="G51" s="25" t="s">
        <v>509</v>
      </c>
      <c r="H51" s="25" t="s">
        <v>717</v>
      </c>
      <c r="I51" s="25" t="s">
        <v>718</v>
      </c>
      <c r="J51" s="25" t="s">
        <v>719</v>
      </c>
      <c r="K51" s="25" t="s">
        <v>720</v>
      </c>
      <c r="L51" s="25" t="s">
        <v>529</v>
      </c>
      <c r="M51" s="25" t="s">
        <v>219</v>
      </c>
      <c r="N51" s="28" t="s">
        <v>514</v>
      </c>
      <c r="O51" s="28"/>
      <c r="P51" s="28"/>
      <c r="Q51" s="28"/>
    </row>
    <row r="52" spans="1:17" ht="78" x14ac:dyDescent="0.35">
      <c r="A52" s="25" t="s">
        <v>435</v>
      </c>
      <c r="B52" s="25" t="s">
        <v>175</v>
      </c>
      <c r="C52" s="25" t="s">
        <v>515</v>
      </c>
      <c r="D52" s="25" t="s">
        <v>507</v>
      </c>
      <c r="E52" s="25" t="s">
        <v>516</v>
      </c>
      <c r="F52" s="25" t="s">
        <v>568</v>
      </c>
      <c r="G52" s="25" t="s">
        <v>563</v>
      </c>
      <c r="H52" s="25" t="s">
        <v>721</v>
      </c>
      <c r="I52" s="25" t="s">
        <v>722</v>
      </c>
      <c r="J52" s="25" t="s">
        <v>723</v>
      </c>
      <c r="K52" s="25" t="s">
        <v>724</v>
      </c>
      <c r="L52" s="25" t="s">
        <v>725</v>
      </c>
      <c r="M52" s="25" t="s">
        <v>251</v>
      </c>
      <c r="N52" s="28" t="s">
        <v>1492</v>
      </c>
      <c r="O52" s="28"/>
      <c r="P52" s="28"/>
      <c r="Q52" s="28" t="s">
        <v>726</v>
      </c>
    </row>
    <row r="53" spans="1:17" ht="52" x14ac:dyDescent="0.35">
      <c r="A53" s="25" t="s">
        <v>442</v>
      </c>
      <c r="B53" s="25" t="s">
        <v>175</v>
      </c>
      <c r="C53" s="25" t="s">
        <v>515</v>
      </c>
      <c r="D53" s="25" t="s">
        <v>599</v>
      </c>
      <c r="E53" s="25" t="s">
        <v>727</v>
      </c>
      <c r="F53" s="25" t="s">
        <v>508</v>
      </c>
      <c r="G53" s="25" t="s">
        <v>509</v>
      </c>
      <c r="H53" s="25" t="s">
        <v>1493</v>
      </c>
      <c r="I53" s="25" t="s">
        <v>728</v>
      </c>
      <c r="J53" s="25" t="s">
        <v>729</v>
      </c>
      <c r="K53" s="25" t="s">
        <v>730</v>
      </c>
      <c r="L53" s="25" t="s">
        <v>381</v>
      </c>
      <c r="M53" s="25" t="s">
        <v>219</v>
      </c>
      <c r="N53" s="28" t="s">
        <v>514</v>
      </c>
      <c r="O53" s="28"/>
      <c r="P53" s="28"/>
      <c r="Q53" s="28" t="s">
        <v>731</v>
      </c>
    </row>
    <row r="54" spans="1:17" ht="39" x14ac:dyDescent="0.35">
      <c r="A54" s="25" t="s">
        <v>449</v>
      </c>
      <c r="B54" s="25" t="s">
        <v>175</v>
      </c>
      <c r="C54" s="25" t="s">
        <v>515</v>
      </c>
      <c r="D54" s="25" t="s">
        <v>599</v>
      </c>
      <c r="E54" s="25" t="s">
        <v>727</v>
      </c>
      <c r="F54" s="25" t="s">
        <v>508</v>
      </c>
      <c r="G54" s="25" t="s">
        <v>509</v>
      </c>
      <c r="H54" s="25" t="s">
        <v>732</v>
      </c>
      <c r="I54" s="25" t="s">
        <v>733</v>
      </c>
      <c r="J54" s="25" t="s">
        <v>734</v>
      </c>
      <c r="K54" s="25" t="s">
        <v>730</v>
      </c>
      <c r="L54" s="25" t="s">
        <v>328</v>
      </c>
      <c r="M54" s="25" t="s">
        <v>219</v>
      </c>
      <c r="N54" s="28" t="s">
        <v>1491</v>
      </c>
      <c r="O54" s="28"/>
      <c r="P54" s="28"/>
      <c r="Q54" s="28" t="s">
        <v>731</v>
      </c>
    </row>
    <row r="55" spans="1:17" ht="26" x14ac:dyDescent="0.35">
      <c r="A55" s="25" t="s">
        <v>453</v>
      </c>
      <c r="B55" s="25" t="s">
        <v>175</v>
      </c>
      <c r="C55" s="25" t="s">
        <v>515</v>
      </c>
      <c r="D55" s="25" t="s">
        <v>599</v>
      </c>
      <c r="E55" s="25" t="s">
        <v>727</v>
      </c>
      <c r="F55" s="25" t="s">
        <v>541</v>
      </c>
      <c r="G55" s="25" t="s">
        <v>509</v>
      </c>
      <c r="H55" s="25" t="s">
        <v>735</v>
      </c>
      <c r="I55" s="25" t="s">
        <v>736</v>
      </c>
      <c r="J55" s="25" t="s">
        <v>737</v>
      </c>
      <c r="K55" s="25" t="s">
        <v>730</v>
      </c>
      <c r="L55" s="25" t="s">
        <v>381</v>
      </c>
      <c r="M55" s="25" t="s">
        <v>457</v>
      </c>
      <c r="N55" s="28" t="s">
        <v>514</v>
      </c>
      <c r="O55" s="28"/>
      <c r="P55" s="28"/>
      <c r="Q55" s="28" t="s">
        <v>731</v>
      </c>
    </row>
    <row r="56" spans="1:17" ht="39" x14ac:dyDescent="0.35">
      <c r="A56" s="25" t="s">
        <v>458</v>
      </c>
      <c r="B56" s="25" t="s">
        <v>175</v>
      </c>
      <c r="C56" s="25" t="s">
        <v>515</v>
      </c>
      <c r="D56" s="25" t="s">
        <v>599</v>
      </c>
      <c r="E56" s="25" t="s">
        <v>727</v>
      </c>
      <c r="F56" s="25" t="s">
        <v>541</v>
      </c>
      <c r="G56" s="25" t="s">
        <v>509</v>
      </c>
      <c r="H56" s="25" t="s">
        <v>738</v>
      </c>
      <c r="I56" s="25" t="s">
        <v>739</v>
      </c>
      <c r="J56" s="25" t="s">
        <v>740</v>
      </c>
      <c r="K56" s="25" t="s">
        <v>730</v>
      </c>
      <c r="L56" s="25" t="s">
        <v>381</v>
      </c>
      <c r="M56" s="25" t="s">
        <v>457</v>
      </c>
      <c r="N56" s="28" t="s">
        <v>514</v>
      </c>
      <c r="O56" s="28"/>
      <c r="P56" s="28"/>
      <c r="Q56" s="28" t="s">
        <v>731</v>
      </c>
    </row>
    <row r="57" spans="1:17" ht="26" x14ac:dyDescent="0.35">
      <c r="A57" s="25" t="s">
        <v>462</v>
      </c>
      <c r="B57" s="25" t="s">
        <v>175</v>
      </c>
      <c r="C57" s="25" t="s">
        <v>515</v>
      </c>
      <c r="D57" s="25" t="s">
        <v>599</v>
      </c>
      <c r="E57" s="25" t="s">
        <v>727</v>
      </c>
      <c r="F57" s="25" t="s">
        <v>541</v>
      </c>
      <c r="G57" s="25" t="s">
        <v>563</v>
      </c>
      <c r="H57" s="25" t="s">
        <v>741</v>
      </c>
      <c r="I57" s="25" t="s">
        <v>742</v>
      </c>
      <c r="J57" s="25" t="s">
        <v>743</v>
      </c>
      <c r="K57" s="25" t="s">
        <v>730</v>
      </c>
      <c r="L57" s="25" t="s">
        <v>381</v>
      </c>
      <c r="M57" s="25" t="s">
        <v>251</v>
      </c>
      <c r="N57" s="28" t="s">
        <v>514</v>
      </c>
      <c r="O57" s="28"/>
      <c r="P57" s="28"/>
      <c r="Q57" s="28" t="s">
        <v>731</v>
      </c>
    </row>
    <row r="58" spans="1:17" ht="26" x14ac:dyDescent="0.35">
      <c r="A58" s="25" t="s">
        <v>466</v>
      </c>
      <c r="B58" s="25" t="s">
        <v>175</v>
      </c>
      <c r="C58" s="25" t="s">
        <v>515</v>
      </c>
      <c r="D58" s="25" t="s">
        <v>599</v>
      </c>
      <c r="E58" s="25" t="s">
        <v>727</v>
      </c>
      <c r="F58" s="25" t="s">
        <v>541</v>
      </c>
      <c r="G58" s="25" t="s">
        <v>509</v>
      </c>
      <c r="H58" s="25" t="s">
        <v>744</v>
      </c>
      <c r="I58" s="25" t="s">
        <v>745</v>
      </c>
      <c r="J58" s="25" t="s">
        <v>746</v>
      </c>
      <c r="K58" s="25" t="s">
        <v>730</v>
      </c>
      <c r="L58" s="25" t="s">
        <v>381</v>
      </c>
      <c r="M58" s="25" t="s">
        <v>457</v>
      </c>
      <c r="N58" s="28" t="s">
        <v>514</v>
      </c>
      <c r="O58" s="28"/>
      <c r="P58" s="28"/>
      <c r="Q58" s="28" t="s">
        <v>731</v>
      </c>
    </row>
    <row r="59" spans="1:17" ht="39" x14ac:dyDescent="0.35">
      <c r="A59" s="25" t="s">
        <v>470</v>
      </c>
      <c r="B59" s="25" t="s">
        <v>175</v>
      </c>
      <c r="C59" s="25" t="s">
        <v>515</v>
      </c>
      <c r="D59" s="25" t="s">
        <v>599</v>
      </c>
      <c r="E59" s="25" t="s">
        <v>727</v>
      </c>
      <c r="F59" s="25" t="s">
        <v>541</v>
      </c>
      <c r="G59" s="25" t="s">
        <v>509</v>
      </c>
      <c r="H59" s="25" t="s">
        <v>1494</v>
      </c>
      <c r="I59" s="25" t="s">
        <v>747</v>
      </c>
      <c r="J59" s="25" t="s">
        <v>748</v>
      </c>
      <c r="K59" s="25" t="s">
        <v>730</v>
      </c>
      <c r="L59" s="25" t="s">
        <v>290</v>
      </c>
      <c r="M59" s="25" t="s">
        <v>457</v>
      </c>
      <c r="N59" s="28" t="s">
        <v>514</v>
      </c>
      <c r="O59" s="28"/>
      <c r="P59" s="28"/>
      <c r="Q59" s="28" t="s">
        <v>731</v>
      </c>
    </row>
    <row r="60" spans="1:17" ht="39" x14ac:dyDescent="0.35">
      <c r="A60" s="25" t="s">
        <v>474</v>
      </c>
      <c r="B60" s="25" t="s">
        <v>175</v>
      </c>
      <c r="C60" s="25" t="s">
        <v>515</v>
      </c>
      <c r="D60" s="25" t="s">
        <v>599</v>
      </c>
      <c r="E60" s="25" t="s">
        <v>727</v>
      </c>
      <c r="F60" s="25" t="s">
        <v>541</v>
      </c>
      <c r="G60" s="25" t="s">
        <v>509</v>
      </c>
      <c r="H60" s="25" t="s">
        <v>749</v>
      </c>
      <c r="I60" s="25" t="s">
        <v>750</v>
      </c>
      <c r="J60" s="25" t="s">
        <v>751</v>
      </c>
      <c r="K60" s="25" t="s">
        <v>730</v>
      </c>
      <c r="L60" s="25" t="s">
        <v>328</v>
      </c>
      <c r="M60" s="25" t="s">
        <v>457</v>
      </c>
      <c r="N60" s="28" t="s">
        <v>514</v>
      </c>
      <c r="O60" s="28"/>
      <c r="P60" s="28"/>
      <c r="Q60" s="28" t="s">
        <v>731</v>
      </c>
    </row>
    <row r="61" spans="1:17" ht="39" x14ac:dyDescent="0.35">
      <c r="A61" s="25" t="s">
        <v>478</v>
      </c>
      <c r="B61" s="25" t="s">
        <v>175</v>
      </c>
      <c r="C61" s="25" t="s">
        <v>515</v>
      </c>
      <c r="D61" s="25" t="s">
        <v>599</v>
      </c>
      <c r="E61" s="25" t="s">
        <v>727</v>
      </c>
      <c r="F61" s="25" t="s">
        <v>541</v>
      </c>
      <c r="G61" s="25" t="s">
        <v>509</v>
      </c>
      <c r="H61" s="25" t="s">
        <v>752</v>
      </c>
      <c r="I61" s="25" t="s">
        <v>753</v>
      </c>
      <c r="J61" s="25" t="s">
        <v>754</v>
      </c>
      <c r="K61" s="25" t="s">
        <v>730</v>
      </c>
      <c r="L61" s="25" t="s">
        <v>381</v>
      </c>
      <c r="M61" s="25" t="s">
        <v>251</v>
      </c>
      <c r="N61" s="28" t="s">
        <v>514</v>
      </c>
      <c r="O61" s="28"/>
      <c r="P61" s="28"/>
      <c r="Q61" s="28" t="s">
        <v>731</v>
      </c>
    </row>
    <row r="62" spans="1:17" ht="39" x14ac:dyDescent="0.35">
      <c r="A62" s="25" t="s">
        <v>482</v>
      </c>
      <c r="B62" s="25" t="s">
        <v>175</v>
      </c>
      <c r="C62" s="25" t="s">
        <v>515</v>
      </c>
      <c r="D62" s="25" t="s">
        <v>599</v>
      </c>
      <c r="E62" s="25" t="s">
        <v>727</v>
      </c>
      <c r="F62" s="25" t="s">
        <v>541</v>
      </c>
      <c r="G62" s="25" t="s">
        <v>509</v>
      </c>
      <c r="H62" s="25" t="s">
        <v>755</v>
      </c>
      <c r="I62" s="25" t="s">
        <v>756</v>
      </c>
      <c r="J62" s="25" t="s">
        <v>757</v>
      </c>
      <c r="K62" s="25" t="s">
        <v>730</v>
      </c>
      <c r="L62" s="25" t="s">
        <v>381</v>
      </c>
      <c r="M62" s="25" t="s">
        <v>457</v>
      </c>
      <c r="N62" s="28" t="s">
        <v>514</v>
      </c>
      <c r="O62" s="28"/>
      <c r="P62" s="28"/>
      <c r="Q62" s="28" t="s">
        <v>731</v>
      </c>
    </row>
    <row r="63" spans="1:17" ht="39" x14ac:dyDescent="0.35">
      <c r="A63" s="25" t="s">
        <v>486</v>
      </c>
      <c r="B63" s="25" t="s">
        <v>175</v>
      </c>
      <c r="C63" s="25" t="s">
        <v>515</v>
      </c>
      <c r="D63" s="25" t="s">
        <v>599</v>
      </c>
      <c r="E63" s="25" t="s">
        <v>727</v>
      </c>
      <c r="F63" s="25" t="s">
        <v>541</v>
      </c>
      <c r="G63" s="25" t="s">
        <v>509</v>
      </c>
      <c r="H63" s="25" t="s">
        <v>758</v>
      </c>
      <c r="I63" s="25" t="s">
        <v>759</v>
      </c>
      <c r="J63" s="25" t="s">
        <v>760</v>
      </c>
      <c r="K63" s="25" t="s">
        <v>730</v>
      </c>
      <c r="L63" s="25" t="s">
        <v>381</v>
      </c>
      <c r="M63" s="25" t="s">
        <v>219</v>
      </c>
      <c r="N63" s="28" t="s">
        <v>1492</v>
      </c>
      <c r="O63" s="28"/>
      <c r="P63" s="28"/>
      <c r="Q63" s="28" t="s">
        <v>731</v>
      </c>
    </row>
    <row r="64" spans="1:17" ht="39" x14ac:dyDescent="0.35">
      <c r="A64" s="25" t="s">
        <v>490</v>
      </c>
      <c r="B64" s="25" t="s">
        <v>175</v>
      </c>
      <c r="C64" s="25" t="s">
        <v>515</v>
      </c>
      <c r="D64" s="25" t="s">
        <v>599</v>
      </c>
      <c r="E64" s="25" t="s">
        <v>727</v>
      </c>
      <c r="F64" s="25" t="s">
        <v>568</v>
      </c>
      <c r="G64" s="25" t="s">
        <v>563</v>
      </c>
      <c r="H64" s="25" t="s">
        <v>761</v>
      </c>
      <c r="I64" s="25" t="s">
        <v>762</v>
      </c>
      <c r="J64" s="25" t="s">
        <v>763</v>
      </c>
      <c r="K64" s="25" t="s">
        <v>730</v>
      </c>
      <c r="L64" s="25" t="s">
        <v>381</v>
      </c>
      <c r="M64" s="25" t="s">
        <v>251</v>
      </c>
      <c r="N64" s="28" t="s">
        <v>514</v>
      </c>
      <c r="O64" s="28"/>
      <c r="P64" s="28"/>
      <c r="Q64" s="28" t="s">
        <v>731</v>
      </c>
    </row>
    <row r="65" spans="1:17" ht="39" x14ac:dyDescent="0.35">
      <c r="A65" s="25" t="s">
        <v>494</v>
      </c>
      <c r="B65" s="25" t="s">
        <v>175</v>
      </c>
      <c r="C65" s="25" t="s">
        <v>515</v>
      </c>
      <c r="D65" s="25" t="s">
        <v>599</v>
      </c>
      <c r="E65" s="25" t="s">
        <v>727</v>
      </c>
      <c r="F65" s="25" t="s">
        <v>568</v>
      </c>
      <c r="G65" s="25" t="s">
        <v>563</v>
      </c>
      <c r="H65" s="25" t="s">
        <v>764</v>
      </c>
      <c r="I65" s="25" t="s">
        <v>765</v>
      </c>
      <c r="J65" s="25" t="s">
        <v>766</v>
      </c>
      <c r="K65" s="25" t="s">
        <v>730</v>
      </c>
      <c r="L65" s="25" t="s">
        <v>328</v>
      </c>
      <c r="M65" s="25" t="s">
        <v>251</v>
      </c>
      <c r="N65" s="28" t="s">
        <v>514</v>
      </c>
      <c r="O65" s="28"/>
      <c r="P65" s="28"/>
      <c r="Q65" s="28" t="s">
        <v>731</v>
      </c>
    </row>
    <row r="66" spans="1:17" ht="39" x14ac:dyDescent="0.35">
      <c r="A66" s="25" t="s">
        <v>498</v>
      </c>
      <c r="B66" s="25" t="s">
        <v>175</v>
      </c>
      <c r="C66" s="25" t="s">
        <v>515</v>
      </c>
      <c r="D66" s="25" t="s">
        <v>599</v>
      </c>
      <c r="E66" s="25" t="s">
        <v>727</v>
      </c>
      <c r="F66" s="25" t="s">
        <v>568</v>
      </c>
      <c r="G66" s="25" t="s">
        <v>563</v>
      </c>
      <c r="H66" s="25" t="s">
        <v>767</v>
      </c>
      <c r="I66" s="25" t="s">
        <v>768</v>
      </c>
      <c r="J66" s="25" t="s">
        <v>769</v>
      </c>
      <c r="K66" s="25" t="s">
        <v>730</v>
      </c>
      <c r="L66" s="25" t="s">
        <v>540</v>
      </c>
      <c r="M66" s="25" t="s">
        <v>219</v>
      </c>
      <c r="N66" s="28" t="s">
        <v>1492</v>
      </c>
      <c r="O66" s="28"/>
      <c r="P66" s="28"/>
      <c r="Q66" s="28" t="s">
        <v>731</v>
      </c>
    </row>
  </sheetData>
  <autoFilter ref="A4:Q66" xr:uid="{00000000-0009-0000-0000-000004000000}"/>
  <mergeCells count="2">
    <mergeCell ref="A1:I1"/>
    <mergeCell ref="A2:I2"/>
  </mergeCells>
  <conditionalFormatting sqref="F5:F51">
    <cfRule type="cellIs" dxfId="28" priority="4" operator="equal">
      <formula>"Kritis"</formula>
    </cfRule>
    <cfRule type="cellIs" dxfId="27" priority="5" operator="equal">
      <formula>"Tinggi"</formula>
    </cfRule>
    <cfRule type="cellIs" dxfId="26" priority="6" operator="equal">
      <formula>"Sedang"</formula>
    </cfRule>
  </conditionalFormatting>
  <conditionalFormatting sqref="G5:G51">
    <cfRule type="cellIs" dxfId="25" priority="7" operator="equal">
      <formula>"Ya"</formula>
    </cfRule>
  </conditionalFormatting>
  <conditionalFormatting sqref="N5:N51">
    <cfRule type="cellIs" dxfId="24" priority="8" operator="equal">
      <formula>"Selesai"</formula>
    </cfRule>
    <cfRule type="cellIs" dxfId="23" priority="9" operator="equal">
      <formula>"Uji ulang lulus"</formula>
    </cfRule>
  </conditionalFormatting>
  <conditionalFormatting sqref="N53:N66">
    <cfRule type="cellIs" dxfId="22" priority="1" operator="equal">
      <formula>"Selesai"</formula>
    </cfRule>
    <cfRule type="cellIs" dxfId="21" priority="2" operator="equal">
      <formula>"Uji ulang lulus"</formula>
    </cfRule>
  </conditionalFormatting>
  <dataValidations count="2">
    <dataValidation type="list" allowBlank="1" sqref="N5:N66" xr:uid="{00000000-0002-0000-0400-000000000000}">
      <formula1>"Terbuka,Sedang dikerjakan,Sudah diperbaiki - menunggu uji ulang,Uji ulang lulus,Selesai,Ditunda,Bukan cacat"</formula1>
      <formula2>0</formula2>
    </dataValidation>
    <dataValidation type="list" allowBlank="1" sqref="P5:P51" xr:uid="{00000000-0002-0000-0400-000001000000}">
      <formula1>"Lulus,Gagal,Sebagian,Belum diuji"</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5"/>
  <sheetViews>
    <sheetView zoomScaleNormal="100" workbookViewId="0">
      <pane xSplit="3" ySplit="4" topLeftCell="D5" activePane="bottomRight" state="frozen"/>
      <selection pane="topRight" activeCell="D1" sqref="D1"/>
      <selection pane="bottomLeft" activeCell="A5" sqref="A5"/>
      <selection pane="bottomRight"/>
    </sheetView>
  </sheetViews>
  <sheetFormatPr defaultColWidth="8.7265625" defaultRowHeight="14.5" x14ac:dyDescent="0.35"/>
  <cols>
    <col min="1" max="1" width="9" customWidth="1"/>
    <col min="2" max="2" width="13" customWidth="1"/>
    <col min="3" max="3" width="12" customWidth="1"/>
    <col min="4" max="4" width="26" customWidth="1"/>
    <col min="5" max="6" width="64" customWidth="1"/>
    <col min="7" max="7" width="11" customWidth="1"/>
    <col min="8" max="8" width="13" customWidth="1"/>
    <col min="9" max="11" width="12" customWidth="1"/>
    <col min="12" max="12" width="26" customWidth="1"/>
  </cols>
  <sheetData>
    <row r="1" spans="1:12" ht="18" customHeight="1" x14ac:dyDescent="0.4">
      <c r="A1" s="1" t="s">
        <v>770</v>
      </c>
    </row>
    <row r="2" spans="1:12" ht="15" customHeight="1" x14ac:dyDescent="0.35">
      <c r="A2" s="2" t="s">
        <v>771</v>
      </c>
    </row>
    <row r="4" spans="1:12" ht="15" customHeight="1" x14ac:dyDescent="0.35">
      <c r="A4" s="6" t="s">
        <v>161</v>
      </c>
      <c r="B4" s="6" t="s">
        <v>772</v>
      </c>
      <c r="C4" s="6" t="s">
        <v>16</v>
      </c>
      <c r="D4" s="6" t="s">
        <v>773</v>
      </c>
      <c r="E4" s="6" t="s">
        <v>774</v>
      </c>
      <c r="F4" s="6" t="s">
        <v>775</v>
      </c>
      <c r="G4" s="6" t="s">
        <v>776</v>
      </c>
      <c r="H4" s="6" t="s">
        <v>777</v>
      </c>
      <c r="I4" s="6" t="s">
        <v>778</v>
      </c>
      <c r="J4" s="6" t="s">
        <v>779</v>
      </c>
      <c r="K4" s="6" t="s">
        <v>780</v>
      </c>
      <c r="L4" s="6" t="s">
        <v>173</v>
      </c>
    </row>
    <row r="5" spans="1:12" ht="55.5" customHeight="1" x14ac:dyDescent="0.35">
      <c r="A5" s="5" t="s">
        <v>781</v>
      </c>
      <c r="B5" s="5" t="s">
        <v>782</v>
      </c>
      <c r="C5" s="5" t="s">
        <v>24</v>
      </c>
      <c r="D5" s="5" t="s">
        <v>783</v>
      </c>
      <c r="E5" s="5" t="s">
        <v>784</v>
      </c>
      <c r="F5" s="5" t="s">
        <v>785</v>
      </c>
      <c r="G5" s="5" t="s">
        <v>6</v>
      </c>
      <c r="H5" s="7"/>
      <c r="I5" s="7"/>
      <c r="J5" s="7" t="s">
        <v>786</v>
      </c>
      <c r="K5" s="7"/>
      <c r="L5" s="7"/>
    </row>
    <row r="6" spans="1:12" ht="55.5" customHeight="1" x14ac:dyDescent="0.35">
      <c r="A6" s="5" t="s">
        <v>787</v>
      </c>
      <c r="B6" s="5" t="s">
        <v>782</v>
      </c>
      <c r="C6" s="5" t="s">
        <v>24</v>
      </c>
      <c r="D6" s="5" t="s">
        <v>788</v>
      </c>
      <c r="E6" s="5" t="s">
        <v>789</v>
      </c>
      <c r="F6" s="5" t="s">
        <v>790</v>
      </c>
      <c r="G6" s="5" t="s">
        <v>6</v>
      </c>
      <c r="H6" s="7"/>
      <c r="I6" s="7"/>
      <c r="J6" s="7" t="s">
        <v>786</v>
      </c>
      <c r="K6" s="7"/>
      <c r="L6" s="7"/>
    </row>
    <row r="7" spans="1:12" ht="55.5" customHeight="1" x14ac:dyDescent="0.35">
      <c r="A7" s="5" t="s">
        <v>791</v>
      </c>
      <c r="B7" s="5" t="s">
        <v>782</v>
      </c>
      <c r="C7" s="5" t="s">
        <v>24</v>
      </c>
      <c r="D7" s="5" t="s">
        <v>792</v>
      </c>
      <c r="E7" s="5" t="s">
        <v>793</v>
      </c>
      <c r="F7" s="5" t="s">
        <v>794</v>
      </c>
      <c r="G7" s="5" t="s">
        <v>20</v>
      </c>
      <c r="H7" s="7"/>
      <c r="I7" s="7"/>
      <c r="J7" s="7" t="s">
        <v>786</v>
      </c>
      <c r="K7" s="7"/>
      <c r="L7" s="7"/>
    </row>
    <row r="8" spans="1:12" ht="55.5" customHeight="1" x14ac:dyDescent="0.35">
      <c r="A8" s="5" t="s">
        <v>795</v>
      </c>
      <c r="B8" s="5" t="s">
        <v>796</v>
      </c>
      <c r="C8" s="5" t="s">
        <v>24</v>
      </c>
      <c r="D8" s="5" t="s">
        <v>797</v>
      </c>
      <c r="E8" s="5" t="s">
        <v>798</v>
      </c>
      <c r="F8" s="5" t="s">
        <v>799</v>
      </c>
      <c r="G8" s="5" t="s">
        <v>18</v>
      </c>
      <c r="H8" s="7"/>
      <c r="I8" s="7"/>
      <c r="J8" s="7" t="s">
        <v>786</v>
      </c>
      <c r="K8" s="7"/>
      <c r="L8" s="7"/>
    </row>
    <row r="9" spans="1:12" ht="55.5" customHeight="1" x14ac:dyDescent="0.35">
      <c r="A9" s="5" t="s">
        <v>800</v>
      </c>
      <c r="B9" s="5" t="s">
        <v>796</v>
      </c>
      <c r="C9" s="5" t="s">
        <v>24</v>
      </c>
      <c r="D9" s="5" t="s">
        <v>801</v>
      </c>
      <c r="E9" s="5" t="s">
        <v>802</v>
      </c>
      <c r="F9" s="5" t="s">
        <v>803</v>
      </c>
      <c r="G9" s="5" t="s">
        <v>18</v>
      </c>
      <c r="H9" s="7"/>
      <c r="I9" s="7"/>
      <c r="J9" s="7" t="s">
        <v>786</v>
      </c>
      <c r="K9" s="7"/>
      <c r="L9" s="7"/>
    </row>
    <row r="10" spans="1:12" ht="55.5" customHeight="1" x14ac:dyDescent="0.35">
      <c r="A10" s="5" t="s">
        <v>804</v>
      </c>
      <c r="B10" s="5" t="s">
        <v>805</v>
      </c>
      <c r="C10" s="5" t="s">
        <v>17</v>
      </c>
      <c r="D10" s="5" t="s">
        <v>806</v>
      </c>
      <c r="E10" s="5" t="s">
        <v>807</v>
      </c>
      <c r="F10" s="5" t="s">
        <v>808</v>
      </c>
      <c r="G10" s="5" t="s">
        <v>6</v>
      </c>
      <c r="H10" s="7"/>
      <c r="I10" s="7"/>
      <c r="J10" s="7" t="s">
        <v>786</v>
      </c>
      <c r="K10" s="7"/>
      <c r="L10" s="7"/>
    </row>
    <row r="11" spans="1:12" ht="55.5" customHeight="1" x14ac:dyDescent="0.35">
      <c r="A11" s="5" t="s">
        <v>809</v>
      </c>
      <c r="B11" s="5" t="s">
        <v>805</v>
      </c>
      <c r="C11" s="5" t="s">
        <v>17</v>
      </c>
      <c r="D11" s="5" t="s">
        <v>810</v>
      </c>
      <c r="E11" s="5" t="s">
        <v>811</v>
      </c>
      <c r="F11" s="5" t="s">
        <v>812</v>
      </c>
      <c r="G11" s="5" t="s">
        <v>18</v>
      </c>
      <c r="H11" s="7"/>
      <c r="I11" s="7"/>
      <c r="J11" s="7" t="s">
        <v>786</v>
      </c>
      <c r="K11" s="7"/>
      <c r="L11" s="7"/>
    </row>
    <row r="12" spans="1:12" ht="55.5" customHeight="1" x14ac:dyDescent="0.35">
      <c r="A12" s="5" t="s">
        <v>813</v>
      </c>
      <c r="B12" s="5" t="s">
        <v>805</v>
      </c>
      <c r="C12" s="5" t="s">
        <v>17</v>
      </c>
      <c r="D12" s="5" t="s">
        <v>814</v>
      </c>
      <c r="E12" s="5" t="s">
        <v>815</v>
      </c>
      <c r="F12" s="5" t="s">
        <v>816</v>
      </c>
      <c r="G12" s="5" t="s">
        <v>6</v>
      </c>
      <c r="H12" s="7"/>
      <c r="I12" s="7"/>
      <c r="J12" s="7" t="s">
        <v>786</v>
      </c>
      <c r="K12" s="7"/>
      <c r="L12" s="7"/>
    </row>
    <row r="13" spans="1:12" ht="55.5" customHeight="1" x14ac:dyDescent="0.35">
      <c r="A13" s="5" t="s">
        <v>817</v>
      </c>
      <c r="B13" s="5" t="s">
        <v>805</v>
      </c>
      <c r="C13" s="5" t="s">
        <v>19</v>
      </c>
      <c r="D13" s="5" t="s">
        <v>818</v>
      </c>
      <c r="E13" s="5" t="s">
        <v>819</v>
      </c>
      <c r="F13" s="5" t="s">
        <v>820</v>
      </c>
      <c r="G13" s="5" t="s">
        <v>6</v>
      </c>
      <c r="H13" s="7"/>
      <c r="I13" s="7"/>
      <c r="J13" s="7" t="s">
        <v>786</v>
      </c>
      <c r="K13" s="7"/>
      <c r="L13" s="7"/>
    </row>
    <row r="14" spans="1:12" ht="55.5" customHeight="1" x14ac:dyDescent="0.35">
      <c r="A14" s="5" t="s">
        <v>821</v>
      </c>
      <c r="B14" s="5" t="s">
        <v>805</v>
      </c>
      <c r="C14" s="5" t="s">
        <v>19</v>
      </c>
      <c r="D14" s="5" t="s">
        <v>822</v>
      </c>
      <c r="E14" s="5" t="s">
        <v>823</v>
      </c>
      <c r="F14" s="5" t="s">
        <v>824</v>
      </c>
      <c r="G14" s="5" t="s">
        <v>18</v>
      </c>
      <c r="H14" s="7"/>
      <c r="I14" s="7"/>
      <c r="J14" s="7" t="s">
        <v>786</v>
      </c>
      <c r="K14" s="7"/>
      <c r="L14" s="7"/>
    </row>
    <row r="15" spans="1:12" ht="55.5" customHeight="1" x14ac:dyDescent="0.35">
      <c r="A15" s="5" t="s">
        <v>825</v>
      </c>
      <c r="B15" s="5" t="s">
        <v>805</v>
      </c>
      <c r="C15" s="5" t="s">
        <v>23</v>
      </c>
      <c r="D15" s="5" t="s">
        <v>826</v>
      </c>
      <c r="E15" s="5" t="s">
        <v>827</v>
      </c>
      <c r="F15" s="5" t="s">
        <v>828</v>
      </c>
      <c r="G15" s="5" t="s">
        <v>6</v>
      </c>
      <c r="H15" s="7"/>
      <c r="I15" s="7"/>
      <c r="J15" s="7" t="s">
        <v>786</v>
      </c>
      <c r="K15" s="7"/>
      <c r="L15" s="7"/>
    </row>
    <row r="16" spans="1:12" ht="55.5" customHeight="1" x14ac:dyDescent="0.35">
      <c r="A16" s="5" t="s">
        <v>829</v>
      </c>
      <c r="B16" s="5" t="s">
        <v>805</v>
      </c>
      <c r="C16" s="5" t="s">
        <v>23</v>
      </c>
      <c r="D16" s="5" t="s">
        <v>830</v>
      </c>
      <c r="E16" s="5" t="s">
        <v>831</v>
      </c>
      <c r="F16" s="5" t="s">
        <v>832</v>
      </c>
      <c r="G16" s="5" t="s">
        <v>6</v>
      </c>
      <c r="H16" s="7"/>
      <c r="I16" s="7"/>
      <c r="J16" s="7" t="s">
        <v>786</v>
      </c>
      <c r="K16" s="7"/>
      <c r="L16" s="7"/>
    </row>
    <row r="17" spans="1:12" ht="75.75" customHeight="1" x14ac:dyDescent="0.35">
      <c r="A17" s="5" t="s">
        <v>833</v>
      </c>
      <c r="B17" s="5" t="s">
        <v>805</v>
      </c>
      <c r="C17" s="5" t="s">
        <v>21</v>
      </c>
      <c r="D17" s="5" t="s">
        <v>834</v>
      </c>
      <c r="E17" s="5" t="s">
        <v>835</v>
      </c>
      <c r="F17" s="5" t="s">
        <v>836</v>
      </c>
      <c r="G17" s="5" t="s">
        <v>18</v>
      </c>
      <c r="H17" s="7"/>
      <c r="I17" s="7"/>
      <c r="J17" s="7" t="s">
        <v>786</v>
      </c>
      <c r="K17" s="7"/>
      <c r="L17" s="7"/>
    </row>
    <row r="18" spans="1:12" ht="55.5" customHeight="1" x14ac:dyDescent="0.35">
      <c r="A18" s="5" t="s">
        <v>837</v>
      </c>
      <c r="B18" s="5" t="s">
        <v>838</v>
      </c>
      <c r="C18" s="5" t="s">
        <v>24</v>
      </c>
      <c r="D18" s="5" t="s">
        <v>839</v>
      </c>
      <c r="E18" s="5" t="s">
        <v>840</v>
      </c>
      <c r="F18" s="5" t="s">
        <v>841</v>
      </c>
      <c r="G18" s="5" t="s">
        <v>6</v>
      </c>
      <c r="H18" s="7"/>
      <c r="I18" s="7"/>
      <c r="J18" s="7" t="s">
        <v>786</v>
      </c>
      <c r="K18" s="7"/>
      <c r="L18" s="7"/>
    </row>
    <row r="19" spans="1:12" ht="55.5" customHeight="1" x14ac:dyDescent="0.35">
      <c r="A19" s="5" t="s">
        <v>842</v>
      </c>
      <c r="B19" s="5" t="s">
        <v>838</v>
      </c>
      <c r="C19" s="5" t="s">
        <v>24</v>
      </c>
      <c r="D19" s="5" t="s">
        <v>843</v>
      </c>
      <c r="E19" s="5" t="s">
        <v>844</v>
      </c>
      <c r="F19" s="5" t="s">
        <v>845</v>
      </c>
      <c r="G19" s="5" t="s">
        <v>6</v>
      </c>
      <c r="H19" s="7"/>
      <c r="I19" s="7"/>
      <c r="J19" s="7" t="s">
        <v>786</v>
      </c>
      <c r="K19" s="7"/>
      <c r="L19" s="7"/>
    </row>
    <row r="20" spans="1:12" ht="55.5" customHeight="1" x14ac:dyDescent="0.35">
      <c r="A20" s="5" t="s">
        <v>846</v>
      </c>
      <c r="B20" s="5" t="s">
        <v>838</v>
      </c>
      <c r="C20" s="5" t="s">
        <v>24</v>
      </c>
      <c r="D20" s="5" t="s">
        <v>847</v>
      </c>
      <c r="E20" s="5" t="s">
        <v>848</v>
      </c>
      <c r="F20" s="5" t="s">
        <v>849</v>
      </c>
      <c r="G20" s="5" t="s">
        <v>6</v>
      </c>
      <c r="H20" s="7"/>
      <c r="I20" s="7"/>
      <c r="J20" s="7" t="s">
        <v>786</v>
      </c>
      <c r="K20" s="7"/>
      <c r="L20" s="7"/>
    </row>
    <row r="21" spans="1:12" ht="55.5" customHeight="1" x14ac:dyDescent="0.35">
      <c r="A21" s="5" t="s">
        <v>850</v>
      </c>
      <c r="B21" s="5" t="s">
        <v>851</v>
      </c>
      <c r="C21" s="5" t="s">
        <v>24</v>
      </c>
      <c r="D21" s="5" t="s">
        <v>852</v>
      </c>
      <c r="E21" s="5" t="s">
        <v>853</v>
      </c>
      <c r="F21" s="5" t="s">
        <v>854</v>
      </c>
      <c r="G21" s="5" t="s">
        <v>6</v>
      </c>
      <c r="H21" s="7"/>
      <c r="I21" s="7"/>
      <c r="J21" s="7" t="s">
        <v>786</v>
      </c>
      <c r="K21" s="7"/>
      <c r="L21" s="7"/>
    </row>
    <row r="22" spans="1:12" ht="55.5" customHeight="1" x14ac:dyDescent="0.35">
      <c r="A22" s="5" t="s">
        <v>855</v>
      </c>
      <c r="B22" s="5" t="s">
        <v>851</v>
      </c>
      <c r="C22" s="5" t="s">
        <v>24</v>
      </c>
      <c r="D22" s="5" t="s">
        <v>856</v>
      </c>
      <c r="E22" s="5" t="s">
        <v>857</v>
      </c>
      <c r="F22" s="5" t="s">
        <v>858</v>
      </c>
      <c r="G22" s="5" t="s">
        <v>6</v>
      </c>
      <c r="H22" s="7"/>
      <c r="I22" s="7"/>
      <c r="J22" s="7" t="s">
        <v>786</v>
      </c>
      <c r="K22" s="7"/>
      <c r="L22" s="7"/>
    </row>
    <row r="23" spans="1:12" ht="55.5" customHeight="1" x14ac:dyDescent="0.35">
      <c r="A23" s="5" t="s">
        <v>859</v>
      </c>
      <c r="B23" s="5" t="s">
        <v>851</v>
      </c>
      <c r="C23" s="5" t="s">
        <v>24</v>
      </c>
      <c r="D23" s="5" t="s">
        <v>860</v>
      </c>
      <c r="E23" s="5" t="s">
        <v>861</v>
      </c>
      <c r="F23" s="5" t="s">
        <v>862</v>
      </c>
      <c r="G23" s="5" t="s">
        <v>18</v>
      </c>
      <c r="H23" s="7"/>
      <c r="I23" s="7"/>
      <c r="J23" s="7" t="s">
        <v>786</v>
      </c>
      <c r="K23" s="7"/>
      <c r="L23" s="7"/>
    </row>
    <row r="24" spans="1:12" ht="55.5" customHeight="1" x14ac:dyDescent="0.35">
      <c r="A24" s="5" t="s">
        <v>863</v>
      </c>
      <c r="B24" s="5" t="s">
        <v>851</v>
      </c>
      <c r="C24" s="5" t="s">
        <v>24</v>
      </c>
      <c r="D24" s="5" t="s">
        <v>864</v>
      </c>
      <c r="E24" s="5" t="s">
        <v>865</v>
      </c>
      <c r="F24" s="5" t="s">
        <v>866</v>
      </c>
      <c r="G24" s="5" t="s">
        <v>18</v>
      </c>
      <c r="H24" s="7"/>
      <c r="I24" s="7"/>
      <c r="J24" s="7" t="s">
        <v>786</v>
      </c>
      <c r="K24" s="7"/>
      <c r="L24" s="7"/>
    </row>
    <row r="25" spans="1:12" ht="55.5" customHeight="1" x14ac:dyDescent="0.35">
      <c r="A25" s="5" t="s">
        <v>867</v>
      </c>
      <c r="B25" s="5" t="s">
        <v>851</v>
      </c>
      <c r="C25" s="5" t="s">
        <v>24</v>
      </c>
      <c r="D25" s="5" t="s">
        <v>868</v>
      </c>
      <c r="E25" s="5" t="s">
        <v>869</v>
      </c>
      <c r="F25" s="5" t="s">
        <v>870</v>
      </c>
      <c r="G25" s="5" t="s">
        <v>6</v>
      </c>
      <c r="H25" s="7"/>
      <c r="I25" s="7"/>
      <c r="J25" s="7" t="s">
        <v>786</v>
      </c>
      <c r="K25" s="7"/>
      <c r="L25" s="7"/>
    </row>
    <row r="26" spans="1:12" ht="55.5" customHeight="1" x14ac:dyDescent="0.35">
      <c r="A26" s="5" t="s">
        <v>871</v>
      </c>
      <c r="B26" s="5" t="s">
        <v>851</v>
      </c>
      <c r="C26" s="5" t="s">
        <v>24</v>
      </c>
      <c r="D26" s="5" t="s">
        <v>872</v>
      </c>
      <c r="E26" s="5" t="s">
        <v>873</v>
      </c>
      <c r="F26" s="5" t="s">
        <v>874</v>
      </c>
      <c r="G26" s="5" t="s">
        <v>20</v>
      </c>
      <c r="H26" s="7"/>
      <c r="I26" s="7"/>
      <c r="J26" s="7" t="s">
        <v>786</v>
      </c>
      <c r="K26" s="7"/>
      <c r="L26" s="7"/>
    </row>
    <row r="27" spans="1:12" ht="55.5" customHeight="1" x14ac:dyDescent="0.35">
      <c r="A27" s="5" t="s">
        <v>875</v>
      </c>
      <c r="B27" s="5" t="s">
        <v>851</v>
      </c>
      <c r="C27" s="5" t="s">
        <v>24</v>
      </c>
      <c r="D27" s="5" t="s">
        <v>876</v>
      </c>
      <c r="E27" s="5" t="s">
        <v>877</v>
      </c>
      <c r="F27" s="5" t="s">
        <v>878</v>
      </c>
      <c r="G27" s="5" t="s">
        <v>18</v>
      </c>
      <c r="H27" s="7"/>
      <c r="I27" s="7"/>
      <c r="J27" s="7" t="s">
        <v>786</v>
      </c>
      <c r="K27" s="7"/>
      <c r="L27" s="7"/>
    </row>
    <row r="28" spans="1:12" ht="55.5" customHeight="1" x14ac:dyDescent="0.35">
      <c r="A28" s="5" t="s">
        <v>879</v>
      </c>
      <c r="B28" s="5" t="s">
        <v>851</v>
      </c>
      <c r="C28" s="5" t="s">
        <v>24</v>
      </c>
      <c r="D28" s="5" t="s">
        <v>880</v>
      </c>
      <c r="E28" s="5" t="s">
        <v>881</v>
      </c>
      <c r="F28" s="5" t="s">
        <v>882</v>
      </c>
      <c r="G28" s="5" t="s">
        <v>6</v>
      </c>
      <c r="H28" s="7"/>
      <c r="I28" s="7"/>
      <c r="J28" s="7" t="s">
        <v>786</v>
      </c>
      <c r="K28" s="7"/>
      <c r="L28" s="7"/>
    </row>
    <row r="29" spans="1:12" ht="55.5" customHeight="1" x14ac:dyDescent="0.35">
      <c r="A29" s="5" t="s">
        <v>883</v>
      </c>
      <c r="B29" s="5" t="s">
        <v>176</v>
      </c>
      <c r="C29" s="5" t="s">
        <v>24</v>
      </c>
      <c r="D29" s="5" t="s">
        <v>884</v>
      </c>
      <c r="E29" s="5" t="s">
        <v>885</v>
      </c>
      <c r="F29" s="5" t="s">
        <v>886</v>
      </c>
      <c r="G29" s="5" t="s">
        <v>20</v>
      </c>
      <c r="H29" s="7"/>
      <c r="I29" s="7"/>
      <c r="J29" s="7" t="s">
        <v>786</v>
      </c>
      <c r="K29" s="7"/>
      <c r="L29" s="7"/>
    </row>
    <row r="30" spans="1:12" ht="55.5" customHeight="1" x14ac:dyDescent="0.35">
      <c r="A30" s="5" t="s">
        <v>887</v>
      </c>
      <c r="B30" s="5" t="s">
        <v>888</v>
      </c>
      <c r="C30" s="5" t="s">
        <v>24</v>
      </c>
      <c r="D30" s="5" t="s">
        <v>889</v>
      </c>
      <c r="E30" s="5" t="s">
        <v>890</v>
      </c>
      <c r="F30" s="5" t="s">
        <v>891</v>
      </c>
      <c r="G30" s="5" t="s">
        <v>6</v>
      </c>
      <c r="H30" s="7"/>
      <c r="I30" s="7"/>
      <c r="J30" s="7" t="s">
        <v>786</v>
      </c>
      <c r="K30" s="7"/>
      <c r="L30" s="7"/>
    </row>
    <row r="31" spans="1:12" ht="55.5" customHeight="1" x14ac:dyDescent="0.35">
      <c r="A31" s="5" t="s">
        <v>892</v>
      </c>
      <c r="B31" s="5" t="s">
        <v>888</v>
      </c>
      <c r="C31" s="5" t="s">
        <v>24</v>
      </c>
      <c r="D31" s="5" t="s">
        <v>893</v>
      </c>
      <c r="E31" s="5" t="s">
        <v>894</v>
      </c>
      <c r="F31" s="5" t="s">
        <v>895</v>
      </c>
      <c r="G31" s="5" t="s">
        <v>18</v>
      </c>
      <c r="H31" s="7"/>
      <c r="I31" s="7"/>
      <c r="J31" s="7" t="s">
        <v>786</v>
      </c>
      <c r="K31" s="7"/>
      <c r="L31" s="7"/>
    </row>
    <row r="32" spans="1:12" ht="55.5" customHeight="1" x14ac:dyDescent="0.35">
      <c r="A32" s="5" t="s">
        <v>896</v>
      </c>
      <c r="B32" s="5" t="s">
        <v>888</v>
      </c>
      <c r="C32" s="5" t="s">
        <v>24</v>
      </c>
      <c r="D32" s="5" t="s">
        <v>897</v>
      </c>
      <c r="E32" s="5" t="s">
        <v>898</v>
      </c>
      <c r="F32" s="5" t="s">
        <v>899</v>
      </c>
      <c r="G32" s="5" t="s">
        <v>20</v>
      </c>
      <c r="H32" s="7"/>
      <c r="I32" s="7"/>
      <c r="J32" s="7" t="s">
        <v>786</v>
      </c>
      <c r="K32" s="7"/>
      <c r="L32" s="7"/>
    </row>
    <row r="33" spans="1:12" ht="55.5" customHeight="1" x14ac:dyDescent="0.35">
      <c r="A33" s="5" t="s">
        <v>900</v>
      </c>
      <c r="B33" s="5" t="s">
        <v>901</v>
      </c>
      <c r="C33" s="5" t="s">
        <v>24</v>
      </c>
      <c r="D33" s="5" t="s">
        <v>902</v>
      </c>
      <c r="E33" s="5" t="s">
        <v>903</v>
      </c>
      <c r="F33" s="5" t="s">
        <v>904</v>
      </c>
      <c r="G33" s="5" t="s">
        <v>6</v>
      </c>
      <c r="H33" s="7"/>
      <c r="I33" s="7"/>
      <c r="J33" s="7" t="s">
        <v>786</v>
      </c>
      <c r="K33" s="7"/>
      <c r="L33" s="7"/>
    </row>
    <row r="34" spans="1:12" ht="55.5" customHeight="1" x14ac:dyDescent="0.35">
      <c r="A34" s="5" t="s">
        <v>905</v>
      </c>
      <c r="B34" s="5" t="s">
        <v>901</v>
      </c>
      <c r="C34" s="5" t="s">
        <v>24</v>
      </c>
      <c r="D34" s="5" t="s">
        <v>906</v>
      </c>
      <c r="E34" s="5" t="s">
        <v>907</v>
      </c>
      <c r="F34" s="5" t="s">
        <v>908</v>
      </c>
      <c r="G34" s="5" t="s">
        <v>18</v>
      </c>
      <c r="H34" s="7"/>
      <c r="I34" s="7"/>
      <c r="J34" s="7" t="s">
        <v>786</v>
      </c>
      <c r="K34" s="7"/>
      <c r="L34" s="7"/>
    </row>
    <row r="35" spans="1:12" ht="55.5" customHeight="1" x14ac:dyDescent="0.35">
      <c r="A35" s="5" t="s">
        <v>909</v>
      </c>
      <c r="B35" s="5" t="s">
        <v>901</v>
      </c>
      <c r="C35" s="5" t="s">
        <v>24</v>
      </c>
      <c r="D35" s="5" t="s">
        <v>910</v>
      </c>
      <c r="E35" s="5" t="s">
        <v>911</v>
      </c>
      <c r="F35" s="5" t="s">
        <v>912</v>
      </c>
      <c r="G35" s="5" t="s">
        <v>6</v>
      </c>
      <c r="H35" s="7"/>
      <c r="I35" s="7"/>
      <c r="J35" s="7" t="s">
        <v>786</v>
      </c>
      <c r="K35" s="7"/>
      <c r="L35" s="7"/>
    </row>
  </sheetData>
  <autoFilter ref="A4:L35" xr:uid="{00000000-0009-0000-0000-000005000000}"/>
  <conditionalFormatting sqref="G5:G35">
    <cfRule type="cellIs" dxfId="20" priority="4" operator="equal">
      <formula>"Critical"</formula>
    </cfRule>
  </conditionalFormatting>
  <conditionalFormatting sqref="J5:J35">
    <cfRule type="cellIs" dxfId="19" priority="2" operator="equal">
      <formula>"Fail"</formula>
    </cfRule>
    <cfRule type="cellIs" dxfId="18" priority="3" operator="equal">
      <formula>"Pass"</formula>
    </cfRule>
  </conditionalFormatting>
  <dataValidations count="1">
    <dataValidation type="list" allowBlank="1" sqref="J5:J35" xr:uid="{00000000-0002-0000-0500-000000000000}">
      <formula1>"Not run,Pass,Fail,Partial,Blocked"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5"/>
  <sheetViews>
    <sheetView showGridLines="0" zoomScaleNormal="100" workbookViewId="0">
      <pane xSplit="3" ySplit="4" topLeftCell="E5" activePane="bottomRight" state="frozen"/>
      <selection pane="topRight" activeCell="D1" sqref="D1"/>
      <selection pane="bottomLeft" activeCell="A5" sqref="A5"/>
      <selection pane="bottomRight" activeCell="F35" sqref="F35"/>
    </sheetView>
  </sheetViews>
  <sheetFormatPr defaultColWidth="8.7265625" defaultRowHeight="14.5" x14ac:dyDescent="0.35"/>
  <cols>
    <col min="1" max="1" width="9" style="10" customWidth="1"/>
    <col min="2" max="2" width="14" style="10" customWidth="1"/>
    <col min="3" max="3" width="12" style="10" customWidth="1"/>
    <col min="4" max="4" width="28" style="10" customWidth="1"/>
    <col min="5" max="6" width="66" style="10" customWidth="1"/>
    <col min="7" max="7" width="12" style="10" customWidth="1"/>
    <col min="8" max="8" width="14" style="10" customWidth="1"/>
    <col min="9" max="9" width="13" style="10" customWidth="1"/>
    <col min="10" max="10" width="14" style="10" customWidth="1"/>
    <col min="11" max="11" width="13" style="10" customWidth="1"/>
    <col min="12" max="12" width="26" style="10" customWidth="1"/>
    <col min="13" max="16384" width="8.7265625" style="10"/>
  </cols>
  <sheetData>
    <row r="1" spans="1:12" ht="19.5" x14ac:dyDescent="0.45">
      <c r="A1" s="36" t="s">
        <v>913</v>
      </c>
      <c r="B1" s="36"/>
      <c r="C1" s="36"/>
      <c r="D1" s="36"/>
      <c r="E1" s="36"/>
      <c r="F1" s="36"/>
    </row>
    <row r="2" spans="1:12" x14ac:dyDescent="0.35">
      <c r="A2" s="37" t="s">
        <v>914</v>
      </c>
      <c r="B2" s="37"/>
      <c r="C2" s="37"/>
      <c r="D2" s="37"/>
      <c r="E2" s="37"/>
      <c r="F2" s="37"/>
    </row>
    <row r="4" spans="1:12" x14ac:dyDescent="0.35">
      <c r="A4" s="27" t="s">
        <v>242</v>
      </c>
      <c r="B4" s="27" t="s">
        <v>772</v>
      </c>
      <c r="C4" s="27" t="s">
        <v>16</v>
      </c>
      <c r="D4" s="27" t="s">
        <v>915</v>
      </c>
      <c r="E4" s="27" t="s">
        <v>1467</v>
      </c>
      <c r="F4" s="27" t="s">
        <v>1468</v>
      </c>
      <c r="G4" s="27" t="s">
        <v>916</v>
      </c>
      <c r="H4" s="27" t="s">
        <v>917</v>
      </c>
      <c r="I4" s="27" t="s">
        <v>918</v>
      </c>
      <c r="J4" s="27" t="s">
        <v>919</v>
      </c>
      <c r="K4" s="27" t="s">
        <v>920</v>
      </c>
      <c r="L4" s="27" t="s">
        <v>72</v>
      </c>
    </row>
    <row r="5" spans="1:12" ht="26" x14ac:dyDescent="0.35">
      <c r="A5" s="25" t="s">
        <v>781</v>
      </c>
      <c r="B5" s="25" t="s">
        <v>921</v>
      </c>
      <c r="C5" s="25" t="s">
        <v>922</v>
      </c>
      <c r="D5" s="25" t="s">
        <v>923</v>
      </c>
      <c r="E5" s="25" t="s">
        <v>924</v>
      </c>
      <c r="F5" s="25" t="s">
        <v>925</v>
      </c>
      <c r="G5" s="25" t="s">
        <v>508</v>
      </c>
      <c r="H5" s="28"/>
      <c r="I5" s="29">
        <v>46231</v>
      </c>
      <c r="J5" s="28" t="s">
        <v>1469</v>
      </c>
      <c r="K5" s="28"/>
      <c r="L5" s="28" t="s">
        <v>1470</v>
      </c>
    </row>
    <row r="6" spans="1:12" ht="39" x14ac:dyDescent="0.35">
      <c r="A6" s="25" t="s">
        <v>787</v>
      </c>
      <c r="B6" s="25" t="s">
        <v>921</v>
      </c>
      <c r="C6" s="25" t="s">
        <v>922</v>
      </c>
      <c r="D6" s="25" t="s">
        <v>926</v>
      </c>
      <c r="E6" s="25" t="s">
        <v>927</v>
      </c>
      <c r="F6" s="25" t="s">
        <v>928</v>
      </c>
      <c r="G6" s="25" t="s">
        <v>508</v>
      </c>
      <c r="H6" s="28"/>
      <c r="I6" s="29">
        <v>46231</v>
      </c>
      <c r="J6" s="28" t="s">
        <v>1469</v>
      </c>
      <c r="K6" s="28"/>
      <c r="L6" s="28" t="s">
        <v>1470</v>
      </c>
    </row>
    <row r="7" spans="1:12" x14ac:dyDescent="0.35">
      <c r="A7" s="25" t="s">
        <v>791</v>
      </c>
      <c r="B7" s="25" t="s">
        <v>921</v>
      </c>
      <c r="C7" s="25" t="s">
        <v>922</v>
      </c>
      <c r="D7" s="25" t="s">
        <v>929</v>
      </c>
      <c r="E7" s="25" t="s">
        <v>930</v>
      </c>
      <c r="F7" s="25" t="s">
        <v>931</v>
      </c>
      <c r="G7" s="25" t="s">
        <v>568</v>
      </c>
      <c r="H7" s="28"/>
      <c r="I7" s="29">
        <v>46231</v>
      </c>
      <c r="J7" s="28" t="s">
        <v>1471</v>
      </c>
      <c r="K7" s="28"/>
      <c r="L7" s="28"/>
    </row>
    <row r="8" spans="1:12" ht="39" x14ac:dyDescent="0.35">
      <c r="A8" s="25" t="s">
        <v>795</v>
      </c>
      <c r="B8" s="25" t="s">
        <v>932</v>
      </c>
      <c r="C8" s="25" t="s">
        <v>922</v>
      </c>
      <c r="D8" s="25" t="s">
        <v>933</v>
      </c>
      <c r="E8" s="25" t="s">
        <v>934</v>
      </c>
      <c r="F8" s="25" t="s">
        <v>935</v>
      </c>
      <c r="G8" s="25" t="s">
        <v>541</v>
      </c>
      <c r="H8" s="28"/>
      <c r="I8" s="28"/>
      <c r="J8" s="28" t="s">
        <v>708</v>
      </c>
      <c r="K8" s="28"/>
      <c r="L8" s="28"/>
    </row>
    <row r="9" spans="1:12" ht="26" x14ac:dyDescent="0.35">
      <c r="A9" s="25" t="s">
        <v>800</v>
      </c>
      <c r="B9" s="25" t="s">
        <v>932</v>
      </c>
      <c r="C9" s="25" t="s">
        <v>922</v>
      </c>
      <c r="D9" s="25" t="s">
        <v>936</v>
      </c>
      <c r="E9" s="25" t="s">
        <v>937</v>
      </c>
      <c r="F9" s="25" t="s">
        <v>938</v>
      </c>
      <c r="G9" s="25" t="s">
        <v>541</v>
      </c>
      <c r="H9" s="28"/>
      <c r="I9" s="28"/>
      <c r="J9" s="28" t="s">
        <v>708</v>
      </c>
      <c r="K9" s="28"/>
      <c r="L9" s="28"/>
    </row>
    <row r="10" spans="1:12" ht="26" x14ac:dyDescent="0.35">
      <c r="A10" s="25" t="s">
        <v>804</v>
      </c>
      <c r="B10" s="25" t="s">
        <v>805</v>
      </c>
      <c r="C10" s="25" t="s">
        <v>17</v>
      </c>
      <c r="D10" s="25" t="s">
        <v>939</v>
      </c>
      <c r="E10" s="25" t="s">
        <v>940</v>
      </c>
      <c r="F10" s="25" t="s">
        <v>941</v>
      </c>
      <c r="G10" s="25" t="s">
        <v>508</v>
      </c>
      <c r="H10" s="28"/>
      <c r="I10" s="29">
        <v>46231</v>
      </c>
      <c r="J10" s="28" t="s">
        <v>1471</v>
      </c>
      <c r="K10" s="28"/>
      <c r="L10" s="28"/>
    </row>
    <row r="11" spans="1:12" ht="26" x14ac:dyDescent="0.35">
      <c r="A11" s="25" t="s">
        <v>809</v>
      </c>
      <c r="B11" s="25" t="s">
        <v>805</v>
      </c>
      <c r="C11" s="25" t="s">
        <v>17</v>
      </c>
      <c r="D11" s="25" t="s">
        <v>942</v>
      </c>
      <c r="E11" s="25" t="s">
        <v>943</v>
      </c>
      <c r="F11" s="25" t="s">
        <v>944</v>
      </c>
      <c r="G11" s="25" t="s">
        <v>541</v>
      </c>
      <c r="H11" s="28"/>
      <c r="I11" s="29">
        <v>46231</v>
      </c>
      <c r="J11" s="28" t="s">
        <v>1471</v>
      </c>
      <c r="K11" s="28"/>
      <c r="L11" s="28"/>
    </row>
    <row r="12" spans="1:12" x14ac:dyDescent="0.35">
      <c r="A12" s="25" t="s">
        <v>813</v>
      </c>
      <c r="B12" s="25" t="s">
        <v>805</v>
      </c>
      <c r="C12" s="25" t="s">
        <v>17</v>
      </c>
      <c r="D12" s="25" t="s">
        <v>814</v>
      </c>
      <c r="E12" s="25" t="s">
        <v>945</v>
      </c>
      <c r="F12" s="25" t="s">
        <v>946</v>
      </c>
      <c r="G12" s="25" t="s">
        <v>508</v>
      </c>
      <c r="H12" s="28"/>
      <c r="I12" s="29">
        <v>46231</v>
      </c>
      <c r="J12" s="28" t="s">
        <v>1471</v>
      </c>
      <c r="K12" s="28"/>
      <c r="L12" s="28"/>
    </row>
    <row r="13" spans="1:12" ht="26" x14ac:dyDescent="0.35">
      <c r="A13" s="25" t="s">
        <v>817</v>
      </c>
      <c r="B13" s="25" t="s">
        <v>805</v>
      </c>
      <c r="C13" s="25" t="s">
        <v>19</v>
      </c>
      <c r="D13" s="25" t="s">
        <v>947</v>
      </c>
      <c r="E13" s="25" t="s">
        <v>948</v>
      </c>
      <c r="F13" s="25" t="s">
        <v>949</v>
      </c>
      <c r="G13" s="25" t="s">
        <v>508</v>
      </c>
      <c r="H13" s="28"/>
      <c r="I13" s="29">
        <v>46231</v>
      </c>
      <c r="J13" s="28" t="s">
        <v>1471</v>
      </c>
      <c r="K13" s="28"/>
      <c r="L13" s="28"/>
    </row>
    <row r="14" spans="1:12" x14ac:dyDescent="0.35">
      <c r="A14" s="25" t="s">
        <v>821</v>
      </c>
      <c r="B14" s="25" t="s">
        <v>805</v>
      </c>
      <c r="C14" s="25" t="s">
        <v>19</v>
      </c>
      <c r="D14" s="25" t="s">
        <v>950</v>
      </c>
      <c r="E14" s="25" t="s">
        <v>951</v>
      </c>
      <c r="F14" s="25" t="s">
        <v>952</v>
      </c>
      <c r="G14" s="25" t="s">
        <v>541</v>
      </c>
      <c r="H14" s="28"/>
      <c r="I14" s="29">
        <v>46231</v>
      </c>
      <c r="J14" s="28" t="s">
        <v>1472</v>
      </c>
      <c r="K14" s="28"/>
      <c r="L14" s="28" t="s">
        <v>1473</v>
      </c>
    </row>
    <row r="15" spans="1:12" ht="26" x14ac:dyDescent="0.35">
      <c r="A15" s="25" t="s">
        <v>825</v>
      </c>
      <c r="B15" s="25" t="s">
        <v>805</v>
      </c>
      <c r="C15" s="25" t="s">
        <v>23</v>
      </c>
      <c r="D15" s="25" t="s">
        <v>953</v>
      </c>
      <c r="E15" s="25" t="s">
        <v>954</v>
      </c>
      <c r="F15" s="25" t="s">
        <v>955</v>
      </c>
      <c r="G15" s="25" t="s">
        <v>508</v>
      </c>
      <c r="H15" s="28"/>
      <c r="I15" s="29">
        <v>46231</v>
      </c>
      <c r="J15" s="28" t="s">
        <v>1471</v>
      </c>
      <c r="K15" s="28"/>
      <c r="L15" s="28" t="s">
        <v>1474</v>
      </c>
    </row>
    <row r="16" spans="1:12" ht="26" x14ac:dyDescent="0.35">
      <c r="A16" s="25" t="s">
        <v>829</v>
      </c>
      <c r="B16" s="25" t="s">
        <v>805</v>
      </c>
      <c r="C16" s="25" t="s">
        <v>23</v>
      </c>
      <c r="D16" s="25" t="s">
        <v>956</v>
      </c>
      <c r="E16" s="25" t="s">
        <v>957</v>
      </c>
      <c r="F16" s="25" t="s">
        <v>958</v>
      </c>
      <c r="G16" s="25" t="s">
        <v>508</v>
      </c>
      <c r="H16" s="28"/>
      <c r="I16" s="29">
        <v>46231</v>
      </c>
      <c r="J16" s="28" t="s">
        <v>1471</v>
      </c>
      <c r="K16" s="28"/>
      <c r="L16" s="28" t="s">
        <v>1474</v>
      </c>
    </row>
    <row r="17" spans="1:12" ht="26" x14ac:dyDescent="0.35">
      <c r="A17" s="25" t="s">
        <v>833</v>
      </c>
      <c r="B17" s="25" t="s">
        <v>805</v>
      </c>
      <c r="C17" s="25" t="s">
        <v>21</v>
      </c>
      <c r="D17" s="25" t="s">
        <v>959</v>
      </c>
      <c r="E17" s="25" t="s">
        <v>960</v>
      </c>
      <c r="F17" s="25" t="s">
        <v>1475</v>
      </c>
      <c r="G17" s="25" t="s">
        <v>541</v>
      </c>
      <c r="H17" s="28"/>
      <c r="I17" s="29">
        <v>46231</v>
      </c>
      <c r="J17" s="28" t="s">
        <v>1471</v>
      </c>
      <c r="K17" s="28"/>
      <c r="L17" s="28"/>
    </row>
    <row r="18" spans="1:12" ht="26" x14ac:dyDescent="0.35">
      <c r="A18" s="25" t="s">
        <v>837</v>
      </c>
      <c r="B18" s="25" t="s">
        <v>961</v>
      </c>
      <c r="C18" s="25" t="s">
        <v>922</v>
      </c>
      <c r="D18" s="25" t="s">
        <v>839</v>
      </c>
      <c r="E18" s="25" t="s">
        <v>962</v>
      </c>
      <c r="F18" s="25" t="s">
        <v>963</v>
      </c>
      <c r="G18" s="25" t="s">
        <v>508</v>
      </c>
      <c r="H18" s="28"/>
      <c r="I18" s="29">
        <v>46231</v>
      </c>
      <c r="J18" s="28" t="s">
        <v>1469</v>
      </c>
      <c r="K18" s="28"/>
      <c r="L18" s="28" t="s">
        <v>1476</v>
      </c>
    </row>
    <row r="19" spans="1:12" ht="26" x14ac:dyDescent="0.35">
      <c r="A19" s="25" t="s">
        <v>842</v>
      </c>
      <c r="B19" s="25" t="s">
        <v>961</v>
      </c>
      <c r="C19" s="25" t="s">
        <v>922</v>
      </c>
      <c r="D19" s="25" t="s">
        <v>843</v>
      </c>
      <c r="E19" s="25" t="s">
        <v>964</v>
      </c>
      <c r="F19" s="25" t="s">
        <v>965</v>
      </c>
      <c r="G19" s="25" t="s">
        <v>508</v>
      </c>
      <c r="H19" s="28"/>
      <c r="I19" s="29">
        <v>46231</v>
      </c>
      <c r="J19" s="28" t="s">
        <v>1469</v>
      </c>
      <c r="K19" s="28"/>
      <c r="L19" s="28" t="s">
        <v>1477</v>
      </c>
    </row>
    <row r="20" spans="1:12" x14ac:dyDescent="0.35">
      <c r="A20" s="25" t="s">
        <v>846</v>
      </c>
      <c r="B20" s="25" t="s">
        <v>961</v>
      </c>
      <c r="C20" s="25" t="s">
        <v>922</v>
      </c>
      <c r="D20" s="25" t="s">
        <v>847</v>
      </c>
      <c r="E20" s="25" t="s">
        <v>966</v>
      </c>
      <c r="F20" s="25" t="s">
        <v>967</v>
      </c>
      <c r="G20" s="25" t="s">
        <v>508</v>
      </c>
      <c r="H20" s="28"/>
      <c r="I20" s="28"/>
      <c r="J20" s="28" t="s">
        <v>708</v>
      </c>
      <c r="K20" s="28"/>
      <c r="L20" s="28" t="s">
        <v>1478</v>
      </c>
    </row>
    <row r="21" spans="1:12" ht="26" x14ac:dyDescent="0.35">
      <c r="A21" s="25" t="s">
        <v>850</v>
      </c>
      <c r="B21" s="25" t="s">
        <v>851</v>
      </c>
      <c r="C21" s="25" t="s">
        <v>922</v>
      </c>
      <c r="D21" s="25" t="s">
        <v>968</v>
      </c>
      <c r="E21" s="25" t="s">
        <v>969</v>
      </c>
      <c r="F21" s="25" t="s">
        <v>970</v>
      </c>
      <c r="G21" s="25" t="s">
        <v>508</v>
      </c>
      <c r="H21" s="28"/>
      <c r="I21" s="29">
        <v>46231</v>
      </c>
      <c r="J21" s="28" t="s">
        <v>1471</v>
      </c>
      <c r="K21" s="28"/>
      <c r="L21" s="28"/>
    </row>
    <row r="22" spans="1:12" ht="26" x14ac:dyDescent="0.35">
      <c r="A22" s="25" t="s">
        <v>855</v>
      </c>
      <c r="B22" s="25" t="s">
        <v>851</v>
      </c>
      <c r="C22" s="25" t="s">
        <v>922</v>
      </c>
      <c r="D22" s="25" t="s">
        <v>971</v>
      </c>
      <c r="E22" s="25" t="s">
        <v>972</v>
      </c>
      <c r="F22" s="25" t="s">
        <v>973</v>
      </c>
      <c r="G22" s="25" t="s">
        <v>508</v>
      </c>
      <c r="H22" s="28"/>
      <c r="I22" s="29">
        <v>46231</v>
      </c>
      <c r="J22" s="28" t="s">
        <v>1472</v>
      </c>
      <c r="K22" s="28"/>
      <c r="L22" s="28" t="s">
        <v>1479</v>
      </c>
    </row>
    <row r="23" spans="1:12" x14ac:dyDescent="0.35">
      <c r="A23" s="25" t="s">
        <v>859</v>
      </c>
      <c r="B23" s="25" t="s">
        <v>851</v>
      </c>
      <c r="C23" s="25" t="s">
        <v>922</v>
      </c>
      <c r="D23" s="25" t="s">
        <v>974</v>
      </c>
      <c r="E23" s="25" t="s">
        <v>975</v>
      </c>
      <c r="F23" s="25" t="s">
        <v>976</v>
      </c>
      <c r="G23" s="25" t="s">
        <v>541</v>
      </c>
      <c r="H23" s="28"/>
      <c r="I23" s="29">
        <v>46231</v>
      </c>
      <c r="J23" s="28" t="s">
        <v>1471</v>
      </c>
      <c r="K23" s="28"/>
      <c r="L23" s="28"/>
    </row>
    <row r="24" spans="1:12" ht="26" x14ac:dyDescent="0.35">
      <c r="A24" s="25" t="s">
        <v>863</v>
      </c>
      <c r="B24" s="25" t="s">
        <v>851</v>
      </c>
      <c r="C24" s="25" t="s">
        <v>922</v>
      </c>
      <c r="D24" s="25" t="s">
        <v>977</v>
      </c>
      <c r="E24" s="25" t="s">
        <v>978</v>
      </c>
      <c r="F24" s="25" t="s">
        <v>979</v>
      </c>
      <c r="G24" s="25" t="s">
        <v>541</v>
      </c>
      <c r="H24" s="28"/>
      <c r="I24" s="29">
        <v>46231</v>
      </c>
      <c r="J24" s="28" t="s">
        <v>1471</v>
      </c>
      <c r="K24" s="28"/>
      <c r="L24" s="28"/>
    </row>
    <row r="25" spans="1:12" x14ac:dyDescent="0.35">
      <c r="A25" s="25" t="s">
        <v>867</v>
      </c>
      <c r="B25" s="25" t="s">
        <v>851</v>
      </c>
      <c r="C25" s="25" t="s">
        <v>922</v>
      </c>
      <c r="D25" s="25" t="s">
        <v>980</v>
      </c>
      <c r="E25" s="25" t="s">
        <v>981</v>
      </c>
      <c r="F25" s="25" t="s">
        <v>982</v>
      </c>
      <c r="G25" s="25" t="s">
        <v>508</v>
      </c>
      <c r="H25" s="28"/>
      <c r="I25" s="29">
        <v>46231</v>
      </c>
      <c r="J25" s="28" t="s">
        <v>1471</v>
      </c>
      <c r="K25" s="28"/>
      <c r="L25" s="28"/>
    </row>
    <row r="26" spans="1:12" x14ac:dyDescent="0.35">
      <c r="A26" s="25" t="s">
        <v>871</v>
      </c>
      <c r="B26" s="25" t="s">
        <v>851</v>
      </c>
      <c r="C26" s="25" t="s">
        <v>922</v>
      </c>
      <c r="D26" s="25" t="s">
        <v>983</v>
      </c>
      <c r="E26" s="25" t="s">
        <v>984</v>
      </c>
      <c r="F26" s="25" t="s">
        <v>985</v>
      </c>
      <c r="G26" s="25" t="s">
        <v>568</v>
      </c>
      <c r="H26" s="28"/>
      <c r="I26" s="29">
        <v>46231</v>
      </c>
      <c r="J26" s="28" t="s">
        <v>1471</v>
      </c>
      <c r="K26" s="28"/>
      <c r="L26" s="28"/>
    </row>
    <row r="27" spans="1:12" x14ac:dyDescent="0.35">
      <c r="A27" s="25" t="s">
        <v>875</v>
      </c>
      <c r="B27" s="25" t="s">
        <v>851</v>
      </c>
      <c r="C27" s="25" t="s">
        <v>922</v>
      </c>
      <c r="D27" s="25" t="s">
        <v>986</v>
      </c>
      <c r="E27" s="25" t="s">
        <v>987</v>
      </c>
      <c r="F27" s="25" t="s">
        <v>988</v>
      </c>
      <c r="G27" s="25" t="s">
        <v>541</v>
      </c>
      <c r="H27" s="28"/>
      <c r="I27" s="29">
        <v>46231</v>
      </c>
      <c r="J27" s="28" t="s">
        <v>1480</v>
      </c>
      <c r="K27" s="28"/>
      <c r="L27" s="28" t="s">
        <v>1481</v>
      </c>
    </row>
    <row r="28" spans="1:12" x14ac:dyDescent="0.35">
      <c r="A28" s="25" t="s">
        <v>879</v>
      </c>
      <c r="B28" s="25" t="s">
        <v>851</v>
      </c>
      <c r="C28" s="25" t="s">
        <v>922</v>
      </c>
      <c r="D28" s="25" t="s">
        <v>989</v>
      </c>
      <c r="E28" s="25" t="s">
        <v>990</v>
      </c>
      <c r="F28" s="25" t="s">
        <v>991</v>
      </c>
      <c r="G28" s="25" t="s">
        <v>508</v>
      </c>
      <c r="H28" s="28"/>
      <c r="I28" s="29">
        <v>46231</v>
      </c>
      <c r="J28" s="28" t="s">
        <v>1471</v>
      </c>
      <c r="K28" s="28"/>
      <c r="L28" s="28"/>
    </row>
    <row r="29" spans="1:12" ht="26" x14ac:dyDescent="0.35">
      <c r="A29" s="25" t="s">
        <v>883</v>
      </c>
      <c r="B29" s="25" t="s">
        <v>176</v>
      </c>
      <c r="C29" s="25" t="s">
        <v>922</v>
      </c>
      <c r="D29" s="25" t="s">
        <v>884</v>
      </c>
      <c r="E29" s="25" t="s">
        <v>992</v>
      </c>
      <c r="F29" s="25" t="s">
        <v>993</v>
      </c>
      <c r="G29" s="25" t="s">
        <v>568</v>
      </c>
      <c r="H29" s="28"/>
      <c r="I29" s="28"/>
      <c r="J29" s="28" t="s">
        <v>708</v>
      </c>
      <c r="K29" s="28"/>
      <c r="L29" s="28" t="s">
        <v>1482</v>
      </c>
    </row>
    <row r="30" spans="1:12" ht="26" x14ac:dyDescent="0.35">
      <c r="A30" s="25" t="s">
        <v>887</v>
      </c>
      <c r="B30" s="25" t="s">
        <v>994</v>
      </c>
      <c r="C30" s="25" t="s">
        <v>922</v>
      </c>
      <c r="D30" s="25" t="s">
        <v>995</v>
      </c>
      <c r="E30" s="25" t="s">
        <v>996</v>
      </c>
      <c r="F30" s="25" t="s">
        <v>997</v>
      </c>
      <c r="G30" s="25" t="s">
        <v>508</v>
      </c>
      <c r="H30" s="28"/>
      <c r="I30" s="29">
        <v>46231</v>
      </c>
      <c r="J30" s="28" t="s">
        <v>1471</v>
      </c>
      <c r="K30" s="28"/>
      <c r="L30" s="28"/>
    </row>
    <row r="31" spans="1:12" x14ac:dyDescent="0.35">
      <c r="A31" s="25" t="s">
        <v>892</v>
      </c>
      <c r="B31" s="25" t="s">
        <v>994</v>
      </c>
      <c r="C31" s="25" t="s">
        <v>922</v>
      </c>
      <c r="D31" s="25" t="s">
        <v>998</v>
      </c>
      <c r="E31" s="25" t="s">
        <v>999</v>
      </c>
      <c r="F31" s="25" t="s">
        <v>1000</v>
      </c>
      <c r="G31" s="25" t="s">
        <v>541</v>
      </c>
      <c r="H31" s="28"/>
      <c r="I31" s="29">
        <v>46231</v>
      </c>
      <c r="J31" s="28" t="s">
        <v>1471</v>
      </c>
      <c r="K31" s="28"/>
      <c r="L31" s="28"/>
    </row>
    <row r="32" spans="1:12" x14ac:dyDescent="0.35">
      <c r="A32" s="25" t="s">
        <v>896</v>
      </c>
      <c r="B32" s="25" t="s">
        <v>994</v>
      </c>
      <c r="C32" s="25" t="s">
        <v>922</v>
      </c>
      <c r="D32" s="25" t="s">
        <v>1001</v>
      </c>
      <c r="E32" s="25" t="s">
        <v>1002</v>
      </c>
      <c r="F32" s="25" t="s">
        <v>1003</v>
      </c>
      <c r="G32" s="25" t="s">
        <v>568</v>
      </c>
      <c r="H32" s="28"/>
      <c r="I32" s="29">
        <v>46231</v>
      </c>
      <c r="J32" s="28" t="s">
        <v>1471</v>
      </c>
      <c r="K32" s="28"/>
      <c r="L32" s="28"/>
    </row>
    <row r="33" spans="1:12" ht="26" x14ac:dyDescent="0.35">
      <c r="A33" s="25" t="s">
        <v>900</v>
      </c>
      <c r="B33" s="25" t="s">
        <v>1004</v>
      </c>
      <c r="C33" s="25" t="s">
        <v>922</v>
      </c>
      <c r="D33" s="25" t="s">
        <v>902</v>
      </c>
      <c r="E33" s="25" t="s">
        <v>1005</v>
      </c>
      <c r="F33" s="25" t="s">
        <v>1006</v>
      </c>
      <c r="G33" s="25" t="s">
        <v>508</v>
      </c>
      <c r="H33" s="28"/>
      <c r="I33" s="29">
        <v>46231</v>
      </c>
      <c r="J33" s="28" t="s">
        <v>1471</v>
      </c>
      <c r="K33" s="28"/>
      <c r="L33" s="28"/>
    </row>
    <row r="34" spans="1:12" x14ac:dyDescent="0.35">
      <c r="A34" s="25" t="s">
        <v>905</v>
      </c>
      <c r="B34" s="25" t="s">
        <v>1004</v>
      </c>
      <c r="C34" s="25" t="s">
        <v>922</v>
      </c>
      <c r="D34" s="25" t="s">
        <v>1007</v>
      </c>
      <c r="E34" s="25" t="s">
        <v>1008</v>
      </c>
      <c r="F34" s="25" t="s">
        <v>1009</v>
      </c>
      <c r="G34" s="25" t="s">
        <v>541</v>
      </c>
      <c r="H34" s="28"/>
      <c r="I34" s="29">
        <v>46231</v>
      </c>
      <c r="J34" s="28" t="s">
        <v>1469</v>
      </c>
      <c r="K34" s="28"/>
      <c r="L34" s="28" t="s">
        <v>1483</v>
      </c>
    </row>
    <row r="35" spans="1:12" x14ac:dyDescent="0.35">
      <c r="A35" s="25" t="s">
        <v>909</v>
      </c>
      <c r="B35" s="25" t="s">
        <v>1004</v>
      </c>
      <c r="C35" s="25" t="s">
        <v>922</v>
      </c>
      <c r="D35" s="25" t="s">
        <v>1010</v>
      </c>
      <c r="E35" s="25" t="s">
        <v>1011</v>
      </c>
      <c r="F35" s="25" t="s">
        <v>1012</v>
      </c>
      <c r="G35" s="25" t="s">
        <v>508</v>
      </c>
      <c r="H35" s="28"/>
      <c r="I35" s="28"/>
      <c r="J35" s="28" t="s">
        <v>708</v>
      </c>
      <c r="K35" s="28"/>
      <c r="L35" s="28" t="s">
        <v>1484</v>
      </c>
    </row>
  </sheetData>
  <autoFilter ref="A4:L35" xr:uid="{00000000-0009-0000-0000-000006000000}"/>
  <mergeCells count="2">
    <mergeCell ref="A1:F1"/>
    <mergeCell ref="A2:F2"/>
  </mergeCells>
  <conditionalFormatting sqref="G5:G35">
    <cfRule type="cellIs" dxfId="17" priority="3" operator="equal">
      <formula>"Kritis"</formula>
    </cfRule>
  </conditionalFormatting>
  <conditionalFormatting sqref="J5:J35">
    <cfRule type="cellIs" dxfId="16" priority="1" operator="equal">
      <formula>"Gagal"</formula>
    </cfRule>
    <cfRule type="cellIs" dxfId="15" priority="2" operator="equal">
      <formula>"Lulus"</formula>
    </cfRule>
  </conditionalFormatting>
  <dataValidations count="1">
    <dataValidation type="list" allowBlank="1" sqref="J5:J35" xr:uid="{4B7C067C-7D2A-491D-ABB8-6F2BBCAB8CA4}">
      <formula1>"Belum diuji,Lulus,Gagal,Sebagian,Terhambat"</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6"/>
  <sheetViews>
    <sheetView showGridLines="0" zoomScaleNormal="100" workbookViewId="0">
      <pane ySplit="4" topLeftCell="A5" activePane="bottomLeft" state="frozen"/>
      <selection pane="bottomLeft" activeCell="F15" sqref="F15"/>
    </sheetView>
  </sheetViews>
  <sheetFormatPr defaultColWidth="8.7265625" defaultRowHeight="14.5" x14ac:dyDescent="0.35"/>
  <cols>
    <col min="1" max="1" width="5" style="10" customWidth="1"/>
    <col min="2" max="2" width="14" style="10" customWidth="1"/>
    <col min="3" max="3" width="46" style="10" customWidth="1"/>
    <col min="4" max="4" width="68" style="10" customWidth="1"/>
    <col min="5" max="5" width="26" style="10" customWidth="1"/>
    <col min="6" max="6" width="11" style="10" customWidth="1"/>
    <col min="7" max="7" width="10" style="10" customWidth="1"/>
    <col min="8" max="16384" width="8.7265625" style="10"/>
  </cols>
  <sheetData>
    <row r="1" spans="1:7" ht="18" customHeight="1" x14ac:dyDescent="0.45">
      <c r="A1" s="36" t="s">
        <v>1485</v>
      </c>
      <c r="B1" s="36"/>
      <c r="C1" s="36"/>
      <c r="D1" s="36"/>
      <c r="E1" s="36"/>
      <c r="F1" s="36"/>
      <c r="G1" s="36"/>
    </row>
    <row r="2" spans="1:7" ht="15" customHeight="1" x14ac:dyDescent="0.35">
      <c r="A2" s="37" t="s">
        <v>1013</v>
      </c>
      <c r="B2" s="37"/>
      <c r="C2" s="37"/>
      <c r="D2" s="37"/>
      <c r="E2" s="37"/>
      <c r="F2" s="37"/>
      <c r="G2" s="37"/>
    </row>
    <row r="4" spans="1:7" ht="15" customHeight="1" x14ac:dyDescent="0.35">
      <c r="A4" s="27" t="s">
        <v>1014</v>
      </c>
      <c r="B4" s="27" t="s">
        <v>16</v>
      </c>
      <c r="C4" s="27" t="s">
        <v>1015</v>
      </c>
      <c r="D4" s="27" t="s">
        <v>1016</v>
      </c>
      <c r="E4" s="27" t="s">
        <v>1017</v>
      </c>
      <c r="F4" s="27" t="s">
        <v>71</v>
      </c>
      <c r="G4" s="27" t="s">
        <v>1018</v>
      </c>
    </row>
    <row r="5" spans="1:7" ht="15" customHeight="1" x14ac:dyDescent="0.35">
      <c r="A5" s="25">
        <v>1</v>
      </c>
      <c r="B5" s="25" t="s">
        <v>17</v>
      </c>
      <c r="C5" s="25" t="s">
        <v>1019</v>
      </c>
      <c r="D5" s="25" t="s">
        <v>1020</v>
      </c>
      <c r="E5" s="25" t="s">
        <v>1021</v>
      </c>
      <c r="F5" s="25" t="s">
        <v>1022</v>
      </c>
      <c r="G5" s="25"/>
    </row>
    <row r="6" spans="1:7" ht="15" customHeight="1" x14ac:dyDescent="0.35">
      <c r="A6" s="25">
        <v>2</v>
      </c>
      <c r="B6" s="25" t="s">
        <v>17</v>
      </c>
      <c r="C6" s="25" t="s">
        <v>1023</v>
      </c>
      <c r="D6" s="25" t="s">
        <v>1024</v>
      </c>
      <c r="E6" s="25" t="s">
        <v>1025</v>
      </c>
      <c r="F6" s="25" t="s">
        <v>1022</v>
      </c>
      <c r="G6" s="25"/>
    </row>
    <row r="7" spans="1:7" ht="15" customHeight="1" x14ac:dyDescent="0.35">
      <c r="A7" s="25">
        <v>3</v>
      </c>
      <c r="B7" s="25" t="s">
        <v>17</v>
      </c>
      <c r="C7" s="25" t="s">
        <v>1026</v>
      </c>
      <c r="D7" s="25" t="s">
        <v>1027</v>
      </c>
      <c r="E7" s="25" t="s">
        <v>1028</v>
      </c>
      <c r="F7" s="25" t="s">
        <v>1022</v>
      </c>
      <c r="G7" s="25"/>
    </row>
    <row r="8" spans="1:7" ht="15" customHeight="1" x14ac:dyDescent="0.35">
      <c r="A8" s="25">
        <v>4</v>
      </c>
      <c r="B8" s="25" t="s">
        <v>17</v>
      </c>
      <c r="C8" s="25" t="s">
        <v>1029</v>
      </c>
      <c r="D8" s="25" t="s">
        <v>1030</v>
      </c>
      <c r="E8" s="25" t="s">
        <v>1031</v>
      </c>
      <c r="F8" s="25" t="s">
        <v>1022</v>
      </c>
      <c r="G8" s="25"/>
    </row>
    <row r="9" spans="1:7" ht="15" customHeight="1" x14ac:dyDescent="0.35">
      <c r="A9" s="25">
        <v>5</v>
      </c>
      <c r="B9" s="25" t="s">
        <v>17</v>
      </c>
      <c r="C9" s="25" t="s">
        <v>1032</v>
      </c>
      <c r="D9" s="25" t="s">
        <v>1033</v>
      </c>
      <c r="E9" s="25" t="s">
        <v>1034</v>
      </c>
      <c r="F9" s="25" t="s">
        <v>1022</v>
      </c>
      <c r="G9" s="25"/>
    </row>
    <row r="10" spans="1:7" ht="15" customHeight="1" x14ac:dyDescent="0.35">
      <c r="A10" s="25">
        <v>6</v>
      </c>
      <c r="B10" s="25" t="s">
        <v>17</v>
      </c>
      <c r="C10" s="25" t="s">
        <v>1035</v>
      </c>
      <c r="D10" s="25" t="s">
        <v>1036</v>
      </c>
      <c r="E10" s="25" t="s">
        <v>1037</v>
      </c>
      <c r="F10" s="25" t="s">
        <v>1022</v>
      </c>
      <c r="G10" s="25"/>
    </row>
    <row r="11" spans="1:7" ht="15" customHeight="1" x14ac:dyDescent="0.35">
      <c r="A11" s="25">
        <v>7</v>
      </c>
      <c r="B11" s="25" t="s">
        <v>17</v>
      </c>
      <c r="C11" s="25" t="s">
        <v>1038</v>
      </c>
      <c r="D11" s="25" t="s">
        <v>1039</v>
      </c>
      <c r="E11" s="25" t="s">
        <v>1031</v>
      </c>
      <c r="F11" s="25" t="s">
        <v>1022</v>
      </c>
      <c r="G11" s="25"/>
    </row>
    <row r="12" spans="1:7" ht="15" customHeight="1" x14ac:dyDescent="0.35">
      <c r="A12" s="25">
        <v>8</v>
      </c>
      <c r="B12" s="25" t="s">
        <v>17</v>
      </c>
      <c r="C12" s="25" t="s">
        <v>1040</v>
      </c>
      <c r="D12" s="25" t="s">
        <v>1041</v>
      </c>
      <c r="E12" s="25" t="s">
        <v>1042</v>
      </c>
      <c r="F12" s="25" t="s">
        <v>1022</v>
      </c>
      <c r="G12" s="25"/>
    </row>
    <row r="13" spans="1:7" ht="15" customHeight="1" x14ac:dyDescent="0.35">
      <c r="A13" s="25">
        <v>9</v>
      </c>
      <c r="B13" s="25" t="s">
        <v>17</v>
      </c>
      <c r="C13" s="25" t="s">
        <v>1043</v>
      </c>
      <c r="D13" s="25" t="s">
        <v>1044</v>
      </c>
      <c r="E13" s="25" t="s">
        <v>1045</v>
      </c>
      <c r="F13" s="25" t="s">
        <v>1022</v>
      </c>
      <c r="G13" s="25"/>
    </row>
    <row r="14" spans="1:7" ht="15" customHeight="1" x14ac:dyDescent="0.35">
      <c r="A14" s="25">
        <v>10</v>
      </c>
      <c r="B14" s="25" t="s">
        <v>17</v>
      </c>
      <c r="C14" s="25" t="s">
        <v>1046</v>
      </c>
      <c r="D14" s="25" t="s">
        <v>1047</v>
      </c>
      <c r="E14" s="25" t="s">
        <v>1048</v>
      </c>
      <c r="F14" s="25" t="s">
        <v>1022</v>
      </c>
      <c r="G14" s="25"/>
    </row>
    <row r="15" spans="1:7" ht="15" customHeight="1" x14ac:dyDescent="0.35">
      <c r="A15" s="25">
        <v>11</v>
      </c>
      <c r="B15" s="25" t="s">
        <v>17</v>
      </c>
      <c r="C15" s="25" t="s">
        <v>1049</v>
      </c>
      <c r="D15" s="25" t="s">
        <v>1050</v>
      </c>
      <c r="E15" s="25" t="s">
        <v>1051</v>
      </c>
      <c r="F15" s="25" t="s">
        <v>1052</v>
      </c>
      <c r="G15" s="25" t="s">
        <v>323</v>
      </c>
    </row>
    <row r="16" spans="1:7" ht="15" customHeight="1" x14ac:dyDescent="0.35">
      <c r="A16" s="25">
        <v>12</v>
      </c>
      <c r="B16" s="25" t="s">
        <v>17</v>
      </c>
      <c r="C16" s="25" t="s">
        <v>1053</v>
      </c>
      <c r="D16" s="25" t="s">
        <v>1054</v>
      </c>
      <c r="E16" s="25" t="s">
        <v>1055</v>
      </c>
      <c r="F16" s="25" t="s">
        <v>1022</v>
      </c>
      <c r="G16" s="25"/>
    </row>
    <row r="17" spans="1:7" ht="15" customHeight="1" x14ac:dyDescent="0.35">
      <c r="A17" s="25">
        <v>13</v>
      </c>
      <c r="B17" s="25" t="s">
        <v>17</v>
      </c>
      <c r="C17" s="25" t="s">
        <v>1056</v>
      </c>
      <c r="D17" s="25" t="s">
        <v>1057</v>
      </c>
      <c r="E17" s="25" t="s">
        <v>1058</v>
      </c>
      <c r="F17" s="25" t="s">
        <v>1022</v>
      </c>
      <c r="G17" s="25"/>
    </row>
    <row r="18" spans="1:7" ht="15" customHeight="1" x14ac:dyDescent="0.35">
      <c r="A18" s="25">
        <v>14</v>
      </c>
      <c r="B18" s="25" t="s">
        <v>17</v>
      </c>
      <c r="C18" s="25" t="s">
        <v>1059</v>
      </c>
      <c r="D18" s="25" t="s">
        <v>1060</v>
      </c>
      <c r="E18" s="25" t="s">
        <v>1061</v>
      </c>
      <c r="F18" s="25" t="s">
        <v>1022</v>
      </c>
      <c r="G18" s="25"/>
    </row>
    <row r="19" spans="1:7" ht="23.25" customHeight="1" x14ac:dyDescent="0.35">
      <c r="A19" s="25">
        <v>15</v>
      </c>
      <c r="B19" s="25" t="s">
        <v>17</v>
      </c>
      <c r="C19" s="25" t="s">
        <v>1062</v>
      </c>
      <c r="D19" s="25" t="s">
        <v>1063</v>
      </c>
      <c r="E19" s="25" t="s">
        <v>1064</v>
      </c>
      <c r="F19" s="25" t="s">
        <v>1052</v>
      </c>
      <c r="G19" s="25" t="s">
        <v>226</v>
      </c>
    </row>
    <row r="20" spans="1:7" ht="15" customHeight="1" x14ac:dyDescent="0.35">
      <c r="A20" s="25">
        <v>16</v>
      </c>
      <c r="B20" s="25" t="s">
        <v>17</v>
      </c>
      <c r="C20" s="25" t="s">
        <v>1065</v>
      </c>
      <c r="D20" s="25" t="s">
        <v>1066</v>
      </c>
      <c r="E20" s="25" t="s">
        <v>1061</v>
      </c>
      <c r="F20" s="25" t="s">
        <v>1022</v>
      </c>
      <c r="G20" s="25"/>
    </row>
    <row r="21" spans="1:7" ht="15" customHeight="1" x14ac:dyDescent="0.35">
      <c r="A21" s="25">
        <v>17</v>
      </c>
      <c r="B21" s="25" t="s">
        <v>17</v>
      </c>
      <c r="C21" s="25" t="s">
        <v>1067</v>
      </c>
      <c r="D21" s="25" t="s">
        <v>1068</v>
      </c>
      <c r="E21" s="25" t="s">
        <v>1069</v>
      </c>
      <c r="F21" s="25" t="s">
        <v>1052</v>
      </c>
      <c r="G21" s="25" t="s">
        <v>231</v>
      </c>
    </row>
    <row r="22" spans="1:7" ht="15" customHeight="1" x14ac:dyDescent="0.35">
      <c r="A22" s="25">
        <v>18</v>
      </c>
      <c r="B22" s="25" t="s">
        <v>17</v>
      </c>
      <c r="C22" s="25" t="s">
        <v>1070</v>
      </c>
      <c r="D22" s="25" t="s">
        <v>1071</v>
      </c>
      <c r="E22" s="25" t="s">
        <v>1072</v>
      </c>
      <c r="F22" s="25" t="s">
        <v>1022</v>
      </c>
      <c r="G22" s="25"/>
    </row>
    <row r="23" spans="1:7" ht="15" customHeight="1" x14ac:dyDescent="0.35">
      <c r="A23" s="25">
        <v>19</v>
      </c>
      <c r="B23" s="25" t="s">
        <v>19</v>
      </c>
      <c r="C23" s="25" t="s">
        <v>1073</v>
      </c>
      <c r="D23" s="25" t="s">
        <v>1074</v>
      </c>
      <c r="E23" s="25" t="s">
        <v>1075</v>
      </c>
      <c r="F23" s="25" t="s">
        <v>1022</v>
      </c>
      <c r="G23" s="25"/>
    </row>
    <row r="24" spans="1:7" ht="15" customHeight="1" x14ac:dyDescent="0.35">
      <c r="A24" s="25">
        <v>20</v>
      </c>
      <c r="B24" s="25" t="s">
        <v>19</v>
      </c>
      <c r="C24" s="25" t="s">
        <v>1076</v>
      </c>
      <c r="D24" s="25" t="s">
        <v>1077</v>
      </c>
      <c r="E24" s="25" t="s">
        <v>1078</v>
      </c>
      <c r="F24" s="25" t="s">
        <v>1022</v>
      </c>
      <c r="G24" s="25"/>
    </row>
    <row r="25" spans="1:7" ht="15" customHeight="1" x14ac:dyDescent="0.35">
      <c r="A25" s="25">
        <v>21</v>
      </c>
      <c r="B25" s="25" t="s">
        <v>19</v>
      </c>
      <c r="C25" s="25" t="s">
        <v>1079</v>
      </c>
      <c r="D25" s="25" t="s">
        <v>1080</v>
      </c>
      <c r="E25" s="25" t="s">
        <v>1081</v>
      </c>
      <c r="F25" s="25" t="s">
        <v>1022</v>
      </c>
      <c r="G25" s="25"/>
    </row>
    <row r="26" spans="1:7" ht="15" customHeight="1" x14ac:dyDescent="0.35">
      <c r="A26" s="25">
        <v>22</v>
      </c>
      <c r="B26" s="25" t="s">
        <v>19</v>
      </c>
      <c r="C26" s="25" t="s">
        <v>1082</v>
      </c>
      <c r="D26" s="25" t="s">
        <v>1083</v>
      </c>
      <c r="E26" s="25" t="s">
        <v>1084</v>
      </c>
      <c r="F26" s="25" t="s">
        <v>1022</v>
      </c>
      <c r="G26" s="25"/>
    </row>
    <row r="27" spans="1:7" ht="15" customHeight="1" x14ac:dyDescent="0.35">
      <c r="A27" s="25">
        <v>23</v>
      </c>
      <c r="B27" s="25" t="s">
        <v>19</v>
      </c>
      <c r="C27" s="25" t="s">
        <v>1085</v>
      </c>
      <c r="D27" s="25" t="s">
        <v>1086</v>
      </c>
      <c r="E27" s="25" t="s">
        <v>1087</v>
      </c>
      <c r="F27" s="25" t="s">
        <v>1022</v>
      </c>
      <c r="G27" s="25"/>
    </row>
    <row r="28" spans="1:7" ht="15" customHeight="1" x14ac:dyDescent="0.35">
      <c r="A28" s="25">
        <v>24</v>
      </c>
      <c r="B28" s="25" t="s">
        <v>19</v>
      </c>
      <c r="C28" s="25" t="s">
        <v>1088</v>
      </c>
      <c r="D28" s="25" t="s">
        <v>1089</v>
      </c>
      <c r="E28" s="25" t="s">
        <v>1090</v>
      </c>
      <c r="F28" s="25" t="s">
        <v>1022</v>
      </c>
      <c r="G28" s="25"/>
    </row>
    <row r="29" spans="1:7" ht="15" customHeight="1" x14ac:dyDescent="0.35">
      <c r="A29" s="25">
        <v>25</v>
      </c>
      <c r="B29" s="25" t="s">
        <v>19</v>
      </c>
      <c r="C29" s="25" t="s">
        <v>1091</v>
      </c>
      <c r="D29" s="25" t="s">
        <v>1092</v>
      </c>
      <c r="E29" s="25" t="s">
        <v>1075</v>
      </c>
      <c r="F29" s="25" t="s">
        <v>1022</v>
      </c>
      <c r="G29" s="25"/>
    </row>
    <row r="30" spans="1:7" ht="15" customHeight="1" x14ac:dyDescent="0.35">
      <c r="A30" s="25">
        <v>26</v>
      </c>
      <c r="B30" s="25" t="s">
        <v>19</v>
      </c>
      <c r="C30" s="25" t="s">
        <v>1093</v>
      </c>
      <c r="D30" s="25" t="s">
        <v>1094</v>
      </c>
      <c r="E30" s="25" t="s">
        <v>1095</v>
      </c>
      <c r="F30" s="25" t="s">
        <v>1022</v>
      </c>
      <c r="G30" s="25"/>
    </row>
    <row r="31" spans="1:7" ht="15" customHeight="1" x14ac:dyDescent="0.35">
      <c r="A31" s="25">
        <v>27</v>
      </c>
      <c r="B31" s="25" t="s">
        <v>19</v>
      </c>
      <c r="C31" s="25" t="s">
        <v>1096</v>
      </c>
      <c r="D31" s="25" t="s">
        <v>1097</v>
      </c>
      <c r="E31" s="25" t="s">
        <v>1098</v>
      </c>
      <c r="F31" s="25" t="s">
        <v>1022</v>
      </c>
      <c r="G31" s="25"/>
    </row>
    <row r="32" spans="1:7" ht="15" customHeight="1" x14ac:dyDescent="0.35">
      <c r="A32" s="25">
        <v>28</v>
      </c>
      <c r="B32" s="25" t="s">
        <v>19</v>
      </c>
      <c r="C32" s="25" t="s">
        <v>1099</v>
      </c>
      <c r="D32" s="25" t="s">
        <v>1100</v>
      </c>
      <c r="E32" s="25" t="s">
        <v>1101</v>
      </c>
      <c r="F32" s="25" t="s">
        <v>1022</v>
      </c>
      <c r="G32" s="25"/>
    </row>
    <row r="33" spans="1:7" ht="15" customHeight="1" x14ac:dyDescent="0.35">
      <c r="A33" s="25">
        <v>29</v>
      </c>
      <c r="B33" s="25" t="s">
        <v>19</v>
      </c>
      <c r="C33" s="25" t="s">
        <v>1102</v>
      </c>
      <c r="D33" s="25" t="s">
        <v>1103</v>
      </c>
      <c r="E33" s="25" t="s">
        <v>1104</v>
      </c>
      <c r="F33" s="25" t="s">
        <v>1022</v>
      </c>
      <c r="G33" s="25"/>
    </row>
    <row r="34" spans="1:7" ht="15" customHeight="1" x14ac:dyDescent="0.35">
      <c r="A34" s="25">
        <v>30</v>
      </c>
      <c r="B34" s="25" t="s">
        <v>19</v>
      </c>
      <c r="C34" s="25" t="s">
        <v>1105</v>
      </c>
      <c r="D34" s="25" t="s">
        <v>1106</v>
      </c>
      <c r="E34" s="25" t="s">
        <v>1107</v>
      </c>
      <c r="F34" s="25" t="s">
        <v>1022</v>
      </c>
      <c r="G34" s="25"/>
    </row>
    <row r="35" spans="1:7" ht="15" customHeight="1" x14ac:dyDescent="0.35">
      <c r="A35" s="25">
        <v>31</v>
      </c>
      <c r="B35" s="25" t="s">
        <v>19</v>
      </c>
      <c r="C35" s="25" t="s">
        <v>1108</v>
      </c>
      <c r="D35" s="25" t="s">
        <v>1109</v>
      </c>
      <c r="E35" s="25" t="s">
        <v>1110</v>
      </c>
      <c r="F35" s="25" t="s">
        <v>1022</v>
      </c>
      <c r="G35" s="25"/>
    </row>
    <row r="36" spans="1:7" ht="15" customHeight="1" x14ac:dyDescent="0.35">
      <c r="A36" s="25">
        <v>32</v>
      </c>
      <c r="B36" s="25" t="s">
        <v>19</v>
      </c>
      <c r="C36" s="25" t="s">
        <v>1111</v>
      </c>
      <c r="D36" s="25" t="s">
        <v>1112</v>
      </c>
      <c r="E36" s="25" t="s">
        <v>1113</v>
      </c>
      <c r="F36" s="25" t="s">
        <v>1052</v>
      </c>
      <c r="G36" s="25" t="s">
        <v>220</v>
      </c>
    </row>
    <row r="37" spans="1:7" ht="15" customHeight="1" x14ac:dyDescent="0.35">
      <c r="A37" s="25">
        <v>33</v>
      </c>
      <c r="B37" s="25" t="s">
        <v>19</v>
      </c>
      <c r="C37" s="25" t="s">
        <v>1114</v>
      </c>
      <c r="D37" s="25" t="s">
        <v>1115</v>
      </c>
      <c r="E37" s="25" t="s">
        <v>1116</v>
      </c>
      <c r="F37" s="25" t="s">
        <v>1022</v>
      </c>
      <c r="G37" s="25"/>
    </row>
    <row r="38" spans="1:7" ht="15" customHeight="1" x14ac:dyDescent="0.35">
      <c r="A38" s="25">
        <v>34</v>
      </c>
      <c r="B38" s="25" t="s">
        <v>19</v>
      </c>
      <c r="C38" s="25" t="s">
        <v>1117</v>
      </c>
      <c r="D38" s="25" t="s">
        <v>1118</v>
      </c>
      <c r="E38" s="25" t="s">
        <v>1119</v>
      </c>
      <c r="F38" s="25" t="s">
        <v>1022</v>
      </c>
      <c r="G38" s="25"/>
    </row>
    <row r="39" spans="1:7" ht="15" customHeight="1" x14ac:dyDescent="0.35">
      <c r="A39" s="25">
        <v>35</v>
      </c>
      <c r="B39" s="25" t="s">
        <v>19</v>
      </c>
      <c r="C39" s="25" t="s">
        <v>1120</v>
      </c>
      <c r="D39" s="25" t="s">
        <v>1121</v>
      </c>
      <c r="E39" s="25" t="s">
        <v>1122</v>
      </c>
      <c r="F39" s="25" t="s">
        <v>1052</v>
      </c>
      <c r="G39" s="25" t="s">
        <v>214</v>
      </c>
    </row>
    <row r="40" spans="1:7" ht="15" customHeight="1" x14ac:dyDescent="0.35">
      <c r="A40" s="25">
        <v>36</v>
      </c>
      <c r="B40" s="25" t="s">
        <v>19</v>
      </c>
      <c r="C40" s="25" t="s">
        <v>1123</v>
      </c>
      <c r="D40" s="25" t="s">
        <v>1124</v>
      </c>
      <c r="E40" s="25" t="s">
        <v>1122</v>
      </c>
      <c r="F40" s="25" t="s">
        <v>1052</v>
      </c>
      <c r="G40" s="25" t="s">
        <v>263</v>
      </c>
    </row>
    <row r="41" spans="1:7" ht="15" customHeight="1" x14ac:dyDescent="0.35">
      <c r="A41" s="25">
        <v>37</v>
      </c>
      <c r="B41" s="25" t="s">
        <v>21</v>
      </c>
      <c r="C41" s="25" t="s">
        <v>1125</v>
      </c>
      <c r="D41" s="25" t="s">
        <v>1126</v>
      </c>
      <c r="E41" s="25" t="s">
        <v>1127</v>
      </c>
      <c r="F41" s="25" t="s">
        <v>1022</v>
      </c>
      <c r="G41" s="25"/>
    </row>
    <row r="42" spans="1:7" ht="15" customHeight="1" x14ac:dyDescent="0.35">
      <c r="A42" s="25">
        <v>38</v>
      </c>
      <c r="B42" s="25" t="s">
        <v>21</v>
      </c>
      <c r="C42" s="25" t="s">
        <v>1128</v>
      </c>
      <c r="D42" s="25" t="s">
        <v>1129</v>
      </c>
      <c r="E42" s="25" t="s">
        <v>1127</v>
      </c>
      <c r="F42" s="25" t="s">
        <v>1022</v>
      </c>
      <c r="G42" s="25"/>
    </row>
    <row r="43" spans="1:7" ht="15" customHeight="1" x14ac:dyDescent="0.35">
      <c r="A43" s="25">
        <v>39</v>
      </c>
      <c r="B43" s="25" t="s">
        <v>21</v>
      </c>
      <c r="C43" s="25" t="s">
        <v>1130</v>
      </c>
      <c r="D43" s="25" t="s">
        <v>1131</v>
      </c>
      <c r="E43" s="25" t="s">
        <v>1031</v>
      </c>
      <c r="F43" s="25" t="s">
        <v>1022</v>
      </c>
      <c r="G43" s="25"/>
    </row>
    <row r="44" spans="1:7" ht="15" customHeight="1" x14ac:dyDescent="0.35">
      <c r="A44" s="25">
        <v>40</v>
      </c>
      <c r="B44" s="25" t="s">
        <v>21</v>
      </c>
      <c r="C44" s="25" t="s">
        <v>1132</v>
      </c>
      <c r="D44" s="25" t="s">
        <v>1133</v>
      </c>
      <c r="E44" s="25" t="s">
        <v>1134</v>
      </c>
      <c r="F44" s="25" t="s">
        <v>1022</v>
      </c>
      <c r="G44" s="25"/>
    </row>
    <row r="45" spans="1:7" ht="15" customHeight="1" x14ac:dyDescent="0.35">
      <c r="A45" s="25">
        <v>41</v>
      </c>
      <c r="B45" s="25" t="s">
        <v>21</v>
      </c>
      <c r="C45" s="25" t="s">
        <v>1135</v>
      </c>
      <c r="D45" s="25" t="s">
        <v>1136</v>
      </c>
      <c r="E45" s="25" t="s">
        <v>1137</v>
      </c>
      <c r="F45" s="25" t="s">
        <v>1022</v>
      </c>
      <c r="G45" s="25"/>
    </row>
    <row r="46" spans="1:7" ht="15" customHeight="1" x14ac:dyDescent="0.35">
      <c r="A46" s="25">
        <v>42</v>
      </c>
      <c r="B46" s="25" t="s">
        <v>21</v>
      </c>
      <c r="C46" s="25" t="s">
        <v>1138</v>
      </c>
      <c r="D46" s="25" t="s">
        <v>1139</v>
      </c>
      <c r="E46" s="25" t="s">
        <v>1140</v>
      </c>
      <c r="F46" s="25" t="s">
        <v>1022</v>
      </c>
      <c r="G46" s="25"/>
    </row>
    <row r="47" spans="1:7" ht="15" customHeight="1" x14ac:dyDescent="0.35">
      <c r="A47" s="25">
        <v>43</v>
      </c>
      <c r="B47" s="25" t="s">
        <v>21</v>
      </c>
      <c r="C47" s="25" t="s">
        <v>1141</v>
      </c>
      <c r="D47" s="25" t="s">
        <v>1142</v>
      </c>
      <c r="E47" s="25" t="s">
        <v>1143</v>
      </c>
      <c r="F47" s="25" t="s">
        <v>1052</v>
      </c>
      <c r="G47" s="25" t="s">
        <v>49</v>
      </c>
    </row>
    <row r="48" spans="1:7" ht="15" customHeight="1" x14ac:dyDescent="0.35">
      <c r="A48" s="25">
        <v>44</v>
      </c>
      <c r="B48" s="25" t="s">
        <v>21</v>
      </c>
      <c r="C48" s="25" t="s">
        <v>1144</v>
      </c>
      <c r="D48" s="25" t="s">
        <v>1145</v>
      </c>
      <c r="E48" s="25" t="s">
        <v>1122</v>
      </c>
      <c r="F48" s="25" t="s">
        <v>1052</v>
      </c>
      <c r="G48" s="25" t="s">
        <v>253</v>
      </c>
    </row>
    <row r="49" spans="1:7" ht="15" customHeight="1" x14ac:dyDescent="0.35">
      <c r="A49" s="25">
        <v>45</v>
      </c>
      <c r="B49" s="25" t="s">
        <v>21</v>
      </c>
      <c r="C49" s="25" t="s">
        <v>1146</v>
      </c>
      <c r="D49" s="25" t="s">
        <v>1147</v>
      </c>
      <c r="E49" s="25" t="s">
        <v>1148</v>
      </c>
      <c r="F49" s="25" t="s">
        <v>1052</v>
      </c>
      <c r="G49" s="25" t="s">
        <v>258</v>
      </c>
    </row>
    <row r="50" spans="1:7" ht="15" customHeight="1" x14ac:dyDescent="0.35">
      <c r="A50" s="25">
        <v>46</v>
      </c>
      <c r="B50" s="25" t="s">
        <v>21</v>
      </c>
      <c r="C50" s="25" t="s">
        <v>1149</v>
      </c>
      <c r="D50" s="25" t="s">
        <v>1150</v>
      </c>
      <c r="E50" s="25" t="s">
        <v>1151</v>
      </c>
      <c r="F50" s="25" t="s">
        <v>1052</v>
      </c>
      <c r="G50" s="25" t="s">
        <v>425</v>
      </c>
    </row>
    <row r="51" spans="1:7" ht="15" customHeight="1" x14ac:dyDescent="0.35">
      <c r="A51" s="25">
        <v>47</v>
      </c>
      <c r="B51" s="25" t="s">
        <v>21</v>
      </c>
      <c r="C51" s="25" t="s">
        <v>1152</v>
      </c>
      <c r="D51" s="25" t="s">
        <v>1153</v>
      </c>
      <c r="E51" s="25" t="s">
        <v>1154</v>
      </c>
      <c r="F51" s="25" t="s">
        <v>1022</v>
      </c>
      <c r="G51" s="25"/>
    </row>
    <row r="52" spans="1:7" ht="15" customHeight="1" x14ac:dyDescent="0.35">
      <c r="A52" s="25">
        <v>48</v>
      </c>
      <c r="B52" s="25" t="s">
        <v>23</v>
      </c>
      <c r="C52" s="25" t="s">
        <v>1155</v>
      </c>
      <c r="D52" s="25" t="s">
        <v>1156</v>
      </c>
      <c r="E52" s="25" t="s">
        <v>1157</v>
      </c>
      <c r="F52" s="25" t="s">
        <v>1022</v>
      </c>
      <c r="G52" s="25"/>
    </row>
    <row r="53" spans="1:7" ht="15" customHeight="1" x14ac:dyDescent="0.35">
      <c r="A53" s="25">
        <v>49</v>
      </c>
      <c r="B53" s="25" t="s">
        <v>23</v>
      </c>
      <c r="C53" s="25" t="s">
        <v>1158</v>
      </c>
      <c r="D53" s="25" t="s">
        <v>1159</v>
      </c>
      <c r="E53" s="25" t="s">
        <v>1160</v>
      </c>
      <c r="F53" s="25" t="s">
        <v>1022</v>
      </c>
      <c r="G53" s="25"/>
    </row>
    <row r="54" spans="1:7" ht="15" customHeight="1" x14ac:dyDescent="0.35">
      <c r="A54" s="25">
        <v>50</v>
      </c>
      <c r="B54" s="25" t="s">
        <v>23</v>
      </c>
      <c r="C54" s="25" t="s">
        <v>1161</v>
      </c>
      <c r="D54" s="25" t="s">
        <v>1162</v>
      </c>
      <c r="E54" s="25" t="s">
        <v>1163</v>
      </c>
      <c r="F54" s="25" t="s">
        <v>1022</v>
      </c>
      <c r="G54" s="25"/>
    </row>
    <row r="55" spans="1:7" ht="15" customHeight="1" x14ac:dyDescent="0.35">
      <c r="A55" s="25">
        <v>51</v>
      </c>
      <c r="B55" s="25" t="s">
        <v>23</v>
      </c>
      <c r="C55" s="25" t="s">
        <v>1164</v>
      </c>
      <c r="D55" s="25" t="s">
        <v>1165</v>
      </c>
      <c r="E55" s="25" t="s">
        <v>1166</v>
      </c>
      <c r="F55" s="25" t="s">
        <v>1022</v>
      </c>
      <c r="G55" s="25"/>
    </row>
    <row r="56" spans="1:7" ht="15" customHeight="1" x14ac:dyDescent="0.35">
      <c r="A56" s="25">
        <v>52</v>
      </c>
      <c r="B56" s="25" t="s">
        <v>23</v>
      </c>
      <c r="C56" s="25" t="s">
        <v>1167</v>
      </c>
      <c r="D56" s="25" t="s">
        <v>1168</v>
      </c>
      <c r="E56" s="25" t="s">
        <v>1169</v>
      </c>
      <c r="F56" s="25" t="s">
        <v>1022</v>
      </c>
      <c r="G56" s="25"/>
    </row>
    <row r="57" spans="1:7" ht="15" customHeight="1" x14ac:dyDescent="0.35">
      <c r="A57" s="25">
        <v>53</v>
      </c>
      <c r="B57" s="25" t="s">
        <v>23</v>
      </c>
      <c r="C57" s="25" t="s">
        <v>1170</v>
      </c>
      <c r="D57" s="25" t="s">
        <v>1171</v>
      </c>
      <c r="E57" s="25" t="s">
        <v>1172</v>
      </c>
      <c r="F57" s="25" t="s">
        <v>1022</v>
      </c>
      <c r="G57" s="25"/>
    </row>
    <row r="58" spans="1:7" ht="15" customHeight="1" x14ac:dyDescent="0.35">
      <c r="A58" s="25">
        <v>54</v>
      </c>
      <c r="B58" s="25" t="s">
        <v>23</v>
      </c>
      <c r="C58" s="25" t="s">
        <v>1173</v>
      </c>
      <c r="D58" s="25" t="s">
        <v>1174</v>
      </c>
      <c r="E58" s="25" t="s">
        <v>1175</v>
      </c>
      <c r="F58" s="25" t="s">
        <v>1022</v>
      </c>
      <c r="G58" s="25"/>
    </row>
    <row r="59" spans="1:7" ht="15" customHeight="1" x14ac:dyDescent="0.35">
      <c r="A59" s="25">
        <v>55</v>
      </c>
      <c r="B59" s="25" t="s">
        <v>23</v>
      </c>
      <c r="C59" s="25" t="s">
        <v>1176</v>
      </c>
      <c r="D59" s="25" t="s">
        <v>1177</v>
      </c>
      <c r="E59" s="25" t="s">
        <v>1178</v>
      </c>
      <c r="F59" s="25" t="s">
        <v>1022</v>
      </c>
      <c r="G59" s="25"/>
    </row>
    <row r="60" spans="1:7" ht="15" customHeight="1" x14ac:dyDescent="0.35">
      <c r="A60" s="25">
        <v>56</v>
      </c>
      <c r="B60" s="25" t="s">
        <v>23</v>
      </c>
      <c r="C60" s="25" t="s">
        <v>1179</v>
      </c>
      <c r="D60" s="25" t="s">
        <v>1180</v>
      </c>
      <c r="E60" s="25" t="s">
        <v>1181</v>
      </c>
      <c r="F60" s="25" t="s">
        <v>1022</v>
      </c>
      <c r="G60" s="25"/>
    </row>
    <row r="61" spans="1:7" ht="23.25" customHeight="1" x14ac:dyDescent="0.35">
      <c r="A61" s="25">
        <v>57</v>
      </c>
      <c r="B61" s="25" t="s">
        <v>23</v>
      </c>
      <c r="C61" s="25" t="s">
        <v>1182</v>
      </c>
      <c r="D61" s="25" t="s">
        <v>1183</v>
      </c>
      <c r="E61" s="25" t="s">
        <v>1184</v>
      </c>
      <c r="F61" s="25" t="s">
        <v>1022</v>
      </c>
      <c r="G61" s="25"/>
    </row>
    <row r="62" spans="1:7" ht="15" customHeight="1" x14ac:dyDescent="0.35">
      <c r="A62" s="25">
        <v>58</v>
      </c>
      <c r="B62" s="25" t="s">
        <v>23</v>
      </c>
      <c r="C62" s="25" t="s">
        <v>1185</v>
      </c>
      <c r="D62" s="25" t="s">
        <v>1186</v>
      </c>
      <c r="E62" s="25" t="s">
        <v>1187</v>
      </c>
      <c r="F62" s="25" t="s">
        <v>1052</v>
      </c>
      <c r="G62" s="25" t="s">
        <v>196</v>
      </c>
    </row>
    <row r="63" spans="1:7" ht="15" customHeight="1" x14ac:dyDescent="0.35">
      <c r="A63" s="25">
        <v>59</v>
      </c>
      <c r="B63" s="25" t="s">
        <v>23</v>
      </c>
      <c r="C63" s="25" t="s">
        <v>1188</v>
      </c>
      <c r="D63" s="25" t="s">
        <v>1189</v>
      </c>
      <c r="E63" s="25" t="s">
        <v>1122</v>
      </c>
      <c r="F63" s="25" t="s">
        <v>1052</v>
      </c>
      <c r="G63" s="25" t="s">
        <v>268</v>
      </c>
    </row>
    <row r="64" spans="1:7" ht="15" customHeight="1" x14ac:dyDescent="0.35">
      <c r="A64" s="25">
        <v>60</v>
      </c>
      <c r="B64" s="25" t="s">
        <v>1190</v>
      </c>
      <c r="C64" s="25" t="s">
        <v>1191</v>
      </c>
      <c r="D64" s="25" t="s">
        <v>1192</v>
      </c>
      <c r="E64" s="25" t="s">
        <v>1193</v>
      </c>
      <c r="F64" s="25" t="s">
        <v>1052</v>
      </c>
      <c r="G64" s="25" t="s">
        <v>190</v>
      </c>
    </row>
    <row r="65" spans="1:7" ht="23.25" customHeight="1" x14ac:dyDescent="0.35">
      <c r="A65" s="25">
        <v>61</v>
      </c>
      <c r="B65" s="25" t="s">
        <v>1190</v>
      </c>
      <c r="C65" s="25" t="s">
        <v>1194</v>
      </c>
      <c r="D65" s="25" t="s">
        <v>1195</v>
      </c>
      <c r="E65" s="25" t="s">
        <v>1196</v>
      </c>
      <c r="F65" s="25" t="s">
        <v>1052</v>
      </c>
      <c r="G65" s="25" t="s">
        <v>430</v>
      </c>
    </row>
    <row r="66" spans="1:7" ht="15" customHeight="1" x14ac:dyDescent="0.35">
      <c r="A66" s="25">
        <v>62</v>
      </c>
      <c r="B66" s="25" t="s">
        <v>1190</v>
      </c>
      <c r="C66" s="25" t="s">
        <v>1197</v>
      </c>
      <c r="D66" s="25" t="s">
        <v>1198</v>
      </c>
      <c r="E66" s="25" t="s">
        <v>1199</v>
      </c>
      <c r="F66" s="25" t="s">
        <v>1052</v>
      </c>
      <c r="G66" s="25" t="s">
        <v>236</v>
      </c>
    </row>
  </sheetData>
  <autoFilter ref="A4:G66" xr:uid="{00000000-0009-0000-0000-000007000000}"/>
  <mergeCells count="2">
    <mergeCell ref="A1:G1"/>
    <mergeCell ref="A2:G2"/>
  </mergeCells>
  <conditionalFormatting sqref="F5:F66">
    <cfRule type="cellIs" dxfId="14" priority="2" operator="equal">
      <formula>"FAIL"</formula>
    </cfRule>
    <cfRule type="cellIs" dxfId="13" priority="3" operator="equal">
      <formula>"PASS"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zoomScaleNormal="100" workbookViewId="0">
      <pane ySplit="4" topLeftCell="A9" activePane="bottomLeft" state="frozen"/>
      <selection pane="bottomLeft" activeCell="D10" sqref="D10"/>
    </sheetView>
  </sheetViews>
  <sheetFormatPr defaultColWidth="8.7265625" defaultRowHeight="14.5" x14ac:dyDescent="0.35"/>
  <cols>
    <col min="1" max="1" width="23.1796875" style="10" bestFit="1" customWidth="1"/>
    <col min="2" max="2" width="22.54296875" style="10" bestFit="1" customWidth="1"/>
    <col min="3" max="3" width="71.1796875" style="10" bestFit="1" customWidth="1"/>
    <col min="4" max="4" width="67" style="10" bestFit="1" customWidth="1"/>
    <col min="5" max="5" width="14.1796875" style="10" bestFit="1" customWidth="1"/>
    <col min="6" max="6" width="16.26953125" style="10" bestFit="1" customWidth="1"/>
    <col min="7" max="16384" width="8.7265625" style="10"/>
  </cols>
  <sheetData>
    <row r="1" spans="1:6" ht="18" customHeight="1" x14ac:dyDescent="0.45">
      <c r="A1" s="36" t="s">
        <v>1200</v>
      </c>
      <c r="B1" s="36"/>
      <c r="C1" s="36"/>
      <c r="D1" s="36"/>
      <c r="E1" s="36"/>
      <c r="F1" s="36"/>
    </row>
    <row r="2" spans="1:6" ht="15" customHeight="1" x14ac:dyDescent="0.35">
      <c r="A2" s="37" t="s">
        <v>1201</v>
      </c>
      <c r="B2" s="37"/>
      <c r="C2" s="37"/>
      <c r="D2" s="37"/>
      <c r="E2" s="37"/>
      <c r="F2" s="37"/>
    </row>
    <row r="4" spans="1:6" ht="15" customHeight="1" x14ac:dyDescent="0.35">
      <c r="A4" s="27" t="s">
        <v>1202</v>
      </c>
      <c r="B4" s="27" t="s">
        <v>1203</v>
      </c>
      <c r="C4" s="27" t="s">
        <v>1204</v>
      </c>
      <c r="D4" s="27" t="s">
        <v>1205</v>
      </c>
      <c r="E4" s="27" t="s">
        <v>36</v>
      </c>
      <c r="F4" s="27" t="s">
        <v>1206</v>
      </c>
    </row>
    <row r="5" spans="1:6" ht="15" customHeight="1" x14ac:dyDescent="0.35">
      <c r="A5" s="25" t="s">
        <v>1207</v>
      </c>
      <c r="B5" s="25" t="s">
        <v>1208</v>
      </c>
      <c r="C5" s="25" t="s">
        <v>1209</v>
      </c>
      <c r="D5" s="25" t="s">
        <v>1210</v>
      </c>
      <c r="E5" s="25" t="s">
        <v>1211</v>
      </c>
      <c r="F5" s="25" t="s">
        <v>1212</v>
      </c>
    </row>
    <row r="6" spans="1:6" ht="15" customHeight="1" x14ac:dyDescent="0.35">
      <c r="A6" s="25" t="s">
        <v>1213</v>
      </c>
      <c r="B6" s="25" t="s">
        <v>1214</v>
      </c>
      <c r="C6" s="25" t="s">
        <v>1215</v>
      </c>
      <c r="D6" s="25" t="s">
        <v>1216</v>
      </c>
      <c r="E6" s="25" t="s">
        <v>1211</v>
      </c>
      <c r="F6" s="25" t="s">
        <v>1217</v>
      </c>
    </row>
    <row r="7" spans="1:6" ht="15" customHeight="1" x14ac:dyDescent="0.35">
      <c r="A7" s="25" t="s">
        <v>1218</v>
      </c>
      <c r="B7" s="25" t="s">
        <v>1219</v>
      </c>
      <c r="C7" s="25" t="s">
        <v>1220</v>
      </c>
      <c r="D7" s="25" t="s">
        <v>1221</v>
      </c>
      <c r="E7" s="25" t="s">
        <v>1211</v>
      </c>
      <c r="F7" s="25" t="s">
        <v>1222</v>
      </c>
    </row>
    <row r="8" spans="1:6" ht="15" customHeight="1" x14ac:dyDescent="0.35">
      <c r="A8" s="25" t="s">
        <v>1223</v>
      </c>
      <c r="B8" s="25" t="s">
        <v>1224</v>
      </c>
      <c r="C8" s="25" t="s">
        <v>1215</v>
      </c>
      <c r="D8" s="25" t="s">
        <v>1225</v>
      </c>
      <c r="E8" s="25" t="s">
        <v>1211</v>
      </c>
      <c r="F8" s="25" t="s">
        <v>1226</v>
      </c>
    </row>
    <row r="9" spans="1:6" ht="15" customHeight="1" x14ac:dyDescent="0.35">
      <c r="A9" s="25" t="s">
        <v>1227</v>
      </c>
      <c r="B9" s="25" t="s">
        <v>1228</v>
      </c>
      <c r="C9" s="25" t="s">
        <v>1229</v>
      </c>
      <c r="D9" s="25" t="s">
        <v>1230</v>
      </c>
      <c r="E9" s="25" t="s">
        <v>1231</v>
      </c>
      <c r="F9" s="25" t="s">
        <v>1232</v>
      </c>
    </row>
    <row r="10" spans="1:6" ht="23.25" customHeight="1" x14ac:dyDescent="0.35">
      <c r="A10" s="25" t="s">
        <v>1233</v>
      </c>
      <c r="B10" s="25" t="s">
        <v>1234</v>
      </c>
      <c r="C10" s="25" t="s">
        <v>1235</v>
      </c>
      <c r="D10" s="25" t="s">
        <v>1236</v>
      </c>
      <c r="E10" s="25" t="s">
        <v>1211</v>
      </c>
      <c r="F10" s="25" t="s">
        <v>1237</v>
      </c>
    </row>
    <row r="11" spans="1:6" ht="15" customHeight="1" x14ac:dyDescent="0.35">
      <c r="A11" s="25" t="s">
        <v>1238</v>
      </c>
      <c r="B11" s="25" t="s">
        <v>1234</v>
      </c>
      <c r="C11" s="25" t="s">
        <v>1239</v>
      </c>
      <c r="D11" s="25" t="s">
        <v>1240</v>
      </c>
      <c r="E11" s="25" t="s">
        <v>1211</v>
      </c>
      <c r="F11" s="25" t="s">
        <v>1241</v>
      </c>
    </row>
    <row r="12" spans="1:6" ht="23.25" customHeight="1" x14ac:dyDescent="0.35">
      <c r="A12" s="25" t="s">
        <v>1242</v>
      </c>
      <c r="B12" s="25" t="s">
        <v>1234</v>
      </c>
      <c r="C12" s="25" t="s">
        <v>1243</v>
      </c>
      <c r="D12" s="25" t="s">
        <v>1244</v>
      </c>
      <c r="E12" s="25" t="s">
        <v>1211</v>
      </c>
      <c r="F12" s="25" t="s">
        <v>1245</v>
      </c>
    </row>
    <row r="13" spans="1:6" ht="15" customHeight="1" x14ac:dyDescent="0.35">
      <c r="A13" s="25" t="s">
        <v>1246</v>
      </c>
      <c r="B13" s="25" t="s">
        <v>1247</v>
      </c>
      <c r="C13" s="25" t="s">
        <v>1248</v>
      </c>
      <c r="D13" s="25" t="s">
        <v>1249</v>
      </c>
      <c r="E13" s="25" t="s">
        <v>1211</v>
      </c>
      <c r="F13" s="25" t="s">
        <v>1250</v>
      </c>
    </row>
    <row r="14" spans="1:6" ht="23.25" customHeight="1" x14ac:dyDescent="0.35">
      <c r="A14" s="25" t="s">
        <v>1251</v>
      </c>
      <c r="B14" s="25" t="s">
        <v>1252</v>
      </c>
      <c r="C14" s="25" t="s">
        <v>1253</v>
      </c>
      <c r="D14" s="25" t="s">
        <v>1254</v>
      </c>
      <c r="E14" s="25" t="s">
        <v>1211</v>
      </c>
      <c r="F14" s="25" t="s">
        <v>1255</v>
      </c>
    </row>
    <row r="15" spans="1:6" ht="15" customHeight="1" x14ac:dyDescent="0.35">
      <c r="A15" s="25" t="s">
        <v>1256</v>
      </c>
      <c r="B15" s="25" t="s">
        <v>1252</v>
      </c>
      <c r="C15" s="25" t="s">
        <v>1257</v>
      </c>
      <c r="D15" s="25" t="s">
        <v>1258</v>
      </c>
      <c r="E15" s="25" t="s">
        <v>1211</v>
      </c>
      <c r="F15" s="25" t="s">
        <v>1259</v>
      </c>
    </row>
    <row r="16" spans="1:6" ht="23.25" customHeight="1" x14ac:dyDescent="0.35">
      <c r="A16" s="25" t="s">
        <v>1260</v>
      </c>
      <c r="B16" s="25" t="s">
        <v>1252</v>
      </c>
      <c r="C16" s="25" t="s">
        <v>1261</v>
      </c>
      <c r="D16" s="25" t="s">
        <v>1262</v>
      </c>
      <c r="E16" s="25" t="s">
        <v>1211</v>
      </c>
      <c r="F16" s="25" t="s">
        <v>1263</v>
      </c>
    </row>
    <row r="17" spans="1:6" ht="15" customHeight="1" x14ac:dyDescent="0.35">
      <c r="A17" s="25" t="s">
        <v>1264</v>
      </c>
      <c r="B17" s="25" t="s">
        <v>1265</v>
      </c>
      <c r="C17" s="25" t="s">
        <v>1266</v>
      </c>
      <c r="D17" s="25" t="s">
        <v>1267</v>
      </c>
      <c r="E17" s="25" t="s">
        <v>1268</v>
      </c>
      <c r="F17" s="25" t="s">
        <v>1232</v>
      </c>
    </row>
    <row r="20" spans="1:6" ht="15" customHeight="1" x14ac:dyDescent="0.35">
      <c r="A20" s="11" t="s">
        <v>1269</v>
      </c>
    </row>
    <row r="21" spans="1:6" ht="15" customHeight="1" x14ac:dyDescent="0.35">
      <c r="A21" s="38" t="s">
        <v>1270</v>
      </c>
      <c r="B21" s="38"/>
      <c r="C21" s="38"/>
      <c r="D21" s="38"/>
      <c r="E21" s="38"/>
      <c r="F21" s="38"/>
    </row>
    <row r="22" spans="1:6" ht="15" customHeight="1" x14ac:dyDescent="0.35">
      <c r="A22" s="38" t="s">
        <v>1271</v>
      </c>
      <c r="B22" s="38"/>
      <c r="C22" s="38"/>
      <c r="D22" s="38"/>
      <c r="E22" s="38"/>
      <c r="F22" s="38"/>
    </row>
    <row r="23" spans="1:6" ht="15" customHeight="1" x14ac:dyDescent="0.35">
      <c r="A23" s="38" t="s">
        <v>1272</v>
      </c>
      <c r="B23" s="38"/>
      <c r="C23" s="38"/>
      <c r="D23" s="38"/>
      <c r="E23" s="38"/>
      <c r="F23" s="38"/>
    </row>
    <row r="24" spans="1:6" ht="15" customHeight="1" x14ac:dyDescent="0.35">
      <c r="A24" s="38" t="s">
        <v>1273</v>
      </c>
      <c r="B24" s="38"/>
      <c r="C24" s="38"/>
      <c r="D24" s="38"/>
      <c r="E24" s="38"/>
      <c r="F24" s="38"/>
    </row>
    <row r="25" spans="1:6" ht="15" customHeight="1" x14ac:dyDescent="0.35">
      <c r="A25" s="38" t="s">
        <v>1274</v>
      </c>
      <c r="B25" s="38"/>
      <c r="C25" s="38"/>
      <c r="D25" s="38"/>
      <c r="E25" s="38"/>
      <c r="F25" s="38"/>
    </row>
  </sheetData>
  <mergeCells count="7">
    <mergeCell ref="A24:F24"/>
    <mergeCell ref="A25:F25"/>
    <mergeCell ref="A1:F1"/>
    <mergeCell ref="A2:F2"/>
    <mergeCell ref="A21:F21"/>
    <mergeCell ref="A22:F22"/>
    <mergeCell ref="A23:F2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showGridLines="0" zoomScaleNormal="100" workbookViewId="0">
      <pane ySplit="4" topLeftCell="A7" activePane="bottomLeft" state="frozen"/>
      <selection pane="bottomLeft" activeCell="H6" sqref="H6"/>
    </sheetView>
  </sheetViews>
  <sheetFormatPr defaultColWidth="8.7265625" defaultRowHeight="14.5" x14ac:dyDescent="0.35"/>
  <cols>
    <col min="1" max="1" width="5" style="30" customWidth="1"/>
    <col min="2" max="2" width="26" style="30" customWidth="1"/>
    <col min="3" max="3" width="20" style="30" customWidth="1"/>
    <col min="4" max="4" width="24" style="30" customWidth="1"/>
    <col min="5" max="5" width="34" style="30" customWidth="1"/>
    <col min="6" max="6" width="13" style="30" customWidth="1"/>
    <col min="7" max="7" width="66" style="30" customWidth="1"/>
    <col min="8" max="8" width="13" style="30" customWidth="1"/>
    <col min="9" max="16384" width="8.7265625" style="30"/>
  </cols>
  <sheetData>
    <row r="1" spans="1:8" ht="18" customHeight="1" x14ac:dyDescent="0.35">
      <c r="A1" s="41" t="s">
        <v>1275</v>
      </c>
      <c r="B1" s="41"/>
      <c r="C1" s="41"/>
      <c r="D1" s="41"/>
      <c r="E1" s="41"/>
      <c r="F1" s="41"/>
      <c r="G1" s="41"/>
      <c r="H1" s="41"/>
    </row>
    <row r="2" spans="1:8" ht="15" customHeight="1" x14ac:dyDescent="0.35">
      <c r="A2" s="42" t="s">
        <v>1276</v>
      </c>
      <c r="B2" s="42"/>
      <c r="C2" s="42"/>
      <c r="D2" s="42"/>
      <c r="E2" s="42"/>
      <c r="F2" s="42"/>
      <c r="G2" s="42"/>
      <c r="H2" s="42"/>
    </row>
    <row r="4" spans="1:8" ht="15" customHeight="1" x14ac:dyDescent="0.35">
      <c r="A4" s="35" t="s">
        <v>1014</v>
      </c>
      <c r="B4" s="35" t="s">
        <v>1277</v>
      </c>
      <c r="C4" s="35" t="s">
        <v>1278</v>
      </c>
      <c r="D4" s="35" t="s">
        <v>1279</v>
      </c>
      <c r="E4" s="35" t="s">
        <v>1280</v>
      </c>
      <c r="F4" s="35" t="s">
        <v>776</v>
      </c>
      <c r="G4" s="35" t="s">
        <v>1281</v>
      </c>
      <c r="H4" s="35" t="s">
        <v>36</v>
      </c>
    </row>
    <row r="5" spans="1:8" ht="23.25" customHeight="1" x14ac:dyDescent="0.35">
      <c r="A5" s="34">
        <v>1</v>
      </c>
      <c r="B5" s="31" t="s">
        <v>1207</v>
      </c>
      <c r="C5" s="31" t="s">
        <v>1282</v>
      </c>
      <c r="D5" s="31" t="s">
        <v>1283</v>
      </c>
      <c r="E5" s="31" t="s">
        <v>1284</v>
      </c>
      <c r="F5" s="32" t="s">
        <v>1285</v>
      </c>
      <c r="G5" s="31" t="s">
        <v>1286</v>
      </c>
      <c r="H5" s="33" t="s">
        <v>1287</v>
      </c>
    </row>
    <row r="6" spans="1:8" ht="23.25" customHeight="1" x14ac:dyDescent="0.35">
      <c r="A6" s="34">
        <v>2</v>
      </c>
      <c r="B6" s="31" t="s">
        <v>1288</v>
      </c>
      <c r="C6" s="31" t="s">
        <v>1282</v>
      </c>
      <c r="D6" s="31" t="s">
        <v>1289</v>
      </c>
      <c r="E6" s="31" t="s">
        <v>1290</v>
      </c>
      <c r="F6" s="32" t="s">
        <v>1285</v>
      </c>
      <c r="G6" s="31" t="s">
        <v>1291</v>
      </c>
      <c r="H6" s="33" t="s">
        <v>1287</v>
      </c>
    </row>
    <row r="7" spans="1:8" ht="23.25" customHeight="1" x14ac:dyDescent="0.35">
      <c r="A7" s="34">
        <v>3</v>
      </c>
      <c r="B7" s="31" t="s">
        <v>1292</v>
      </c>
      <c r="C7" s="31" t="s">
        <v>17</v>
      </c>
      <c r="D7" s="31" t="s">
        <v>1293</v>
      </c>
      <c r="E7" s="31" t="s">
        <v>1294</v>
      </c>
      <c r="F7" s="32" t="s">
        <v>1285</v>
      </c>
      <c r="G7" s="31" t="s">
        <v>1295</v>
      </c>
      <c r="H7" s="33" t="s">
        <v>1287</v>
      </c>
    </row>
    <row r="8" spans="1:8" ht="15" customHeight="1" x14ac:dyDescent="0.35">
      <c r="A8" s="34">
        <v>4</v>
      </c>
      <c r="B8" s="31" t="s">
        <v>1296</v>
      </c>
      <c r="C8" s="31" t="s">
        <v>1297</v>
      </c>
      <c r="D8" s="31" t="s">
        <v>1298</v>
      </c>
      <c r="E8" s="31" t="s">
        <v>1299</v>
      </c>
      <c r="F8" s="32" t="s">
        <v>1285</v>
      </c>
      <c r="G8" s="31" t="s">
        <v>1300</v>
      </c>
      <c r="H8" s="33" t="s">
        <v>1287</v>
      </c>
    </row>
    <row r="9" spans="1:8" ht="15" customHeight="1" x14ac:dyDescent="0.35">
      <c r="A9" s="34">
        <v>5</v>
      </c>
      <c r="B9" s="31" t="s">
        <v>1301</v>
      </c>
      <c r="C9" s="31" t="s">
        <v>1297</v>
      </c>
      <c r="D9" s="31" t="s">
        <v>1302</v>
      </c>
      <c r="E9" s="31" t="s">
        <v>1303</v>
      </c>
      <c r="F9" s="31" t="s">
        <v>1304</v>
      </c>
      <c r="G9" s="31" t="s">
        <v>1305</v>
      </c>
      <c r="H9" s="33" t="s">
        <v>1287</v>
      </c>
    </row>
    <row r="10" spans="1:8" ht="15" customHeight="1" x14ac:dyDescent="0.35">
      <c r="A10" s="34">
        <v>6</v>
      </c>
      <c r="B10" s="31" t="s">
        <v>1306</v>
      </c>
      <c r="C10" s="31" t="s">
        <v>1307</v>
      </c>
      <c r="D10" s="31" t="s">
        <v>1308</v>
      </c>
      <c r="E10" s="31" t="s">
        <v>1309</v>
      </c>
      <c r="F10" s="32" t="s">
        <v>1285</v>
      </c>
      <c r="G10" s="31" t="s">
        <v>1310</v>
      </c>
      <c r="H10" s="33" t="s">
        <v>1287</v>
      </c>
    </row>
    <row r="11" spans="1:8" ht="15" customHeight="1" x14ac:dyDescent="0.35">
      <c r="A11" s="34">
        <v>7</v>
      </c>
      <c r="B11" s="31" t="s">
        <v>1311</v>
      </c>
      <c r="C11" s="31" t="s">
        <v>17</v>
      </c>
      <c r="D11" s="31" t="s">
        <v>1312</v>
      </c>
      <c r="E11" s="31" t="s">
        <v>1313</v>
      </c>
      <c r="F11" s="31" t="s">
        <v>1304</v>
      </c>
      <c r="G11" s="31" t="s">
        <v>1314</v>
      </c>
      <c r="H11" s="33" t="s">
        <v>1287</v>
      </c>
    </row>
    <row r="12" spans="1:8" ht="23.25" customHeight="1" x14ac:dyDescent="0.35">
      <c r="A12" s="34">
        <v>8</v>
      </c>
      <c r="B12" s="31" t="s">
        <v>1315</v>
      </c>
      <c r="C12" s="31" t="s">
        <v>17</v>
      </c>
      <c r="D12" s="31" t="s">
        <v>1316</v>
      </c>
      <c r="E12" s="31" t="s">
        <v>1317</v>
      </c>
      <c r="F12" s="31" t="s">
        <v>1304</v>
      </c>
      <c r="G12" s="31" t="s">
        <v>1318</v>
      </c>
      <c r="H12" s="33" t="s">
        <v>1287</v>
      </c>
    </row>
    <row r="13" spans="1:8" ht="15" customHeight="1" x14ac:dyDescent="0.35">
      <c r="A13" s="34">
        <v>9</v>
      </c>
      <c r="B13" s="31" t="s">
        <v>1319</v>
      </c>
      <c r="C13" s="31" t="s">
        <v>1320</v>
      </c>
      <c r="D13" s="31" t="s">
        <v>1321</v>
      </c>
      <c r="E13" s="31" t="s">
        <v>1322</v>
      </c>
      <c r="F13" s="32" t="s">
        <v>1285</v>
      </c>
      <c r="G13" s="31" t="s">
        <v>1323</v>
      </c>
      <c r="H13" s="33" t="s">
        <v>1287</v>
      </c>
    </row>
    <row r="14" spans="1:8" ht="15" customHeight="1" x14ac:dyDescent="0.35">
      <c r="A14" s="34">
        <v>10</v>
      </c>
      <c r="B14" s="31" t="s">
        <v>1324</v>
      </c>
      <c r="C14" s="31" t="s">
        <v>19</v>
      </c>
      <c r="D14" s="31" t="s">
        <v>1325</v>
      </c>
      <c r="E14" s="31" t="s">
        <v>1326</v>
      </c>
      <c r="F14" s="32" t="s">
        <v>1285</v>
      </c>
      <c r="G14" s="31" t="s">
        <v>1327</v>
      </c>
      <c r="H14" s="33" t="s">
        <v>1287</v>
      </c>
    </row>
    <row r="15" spans="1:8" ht="15" customHeight="1" x14ac:dyDescent="0.35">
      <c r="A15" s="34">
        <v>11</v>
      </c>
      <c r="B15" s="31" t="s">
        <v>1328</v>
      </c>
      <c r="C15" s="31" t="s">
        <v>19</v>
      </c>
      <c r="D15" s="31" t="s">
        <v>1329</v>
      </c>
      <c r="E15" s="31" t="s">
        <v>1330</v>
      </c>
      <c r="F15" s="32" t="s">
        <v>1285</v>
      </c>
      <c r="G15" s="31" t="s">
        <v>1331</v>
      </c>
      <c r="H15" s="33" t="s">
        <v>1287</v>
      </c>
    </row>
    <row r="16" spans="1:8" ht="15" customHeight="1" x14ac:dyDescent="0.35">
      <c r="A16" s="34">
        <v>12</v>
      </c>
      <c r="B16" s="31" t="s">
        <v>1332</v>
      </c>
      <c r="C16" s="31" t="s">
        <v>19</v>
      </c>
      <c r="D16" s="31" t="s">
        <v>1333</v>
      </c>
      <c r="E16" s="31" t="s">
        <v>1334</v>
      </c>
      <c r="F16" s="32" t="s">
        <v>1285</v>
      </c>
      <c r="G16" s="31" t="s">
        <v>1335</v>
      </c>
      <c r="H16" s="33" t="s">
        <v>1287</v>
      </c>
    </row>
    <row r="17" spans="1:8" ht="15" customHeight="1" x14ac:dyDescent="0.35">
      <c r="A17" s="34">
        <v>13</v>
      </c>
      <c r="B17" s="31" t="s">
        <v>1336</v>
      </c>
      <c r="C17" s="31" t="s">
        <v>19</v>
      </c>
      <c r="D17" s="31" t="s">
        <v>1337</v>
      </c>
      <c r="E17" s="31" t="s">
        <v>1338</v>
      </c>
      <c r="F17" s="31" t="s">
        <v>1339</v>
      </c>
      <c r="G17" s="31" t="s">
        <v>1340</v>
      </c>
      <c r="H17" s="33" t="s">
        <v>1287</v>
      </c>
    </row>
    <row r="18" spans="1:8" ht="15" customHeight="1" x14ac:dyDescent="0.35">
      <c r="A18" s="34">
        <v>14</v>
      </c>
      <c r="B18" s="31" t="s">
        <v>1341</v>
      </c>
      <c r="C18" s="31" t="s">
        <v>21</v>
      </c>
      <c r="D18" s="31" t="s">
        <v>1342</v>
      </c>
      <c r="E18" s="31" t="s">
        <v>1343</v>
      </c>
      <c r="F18" s="32" t="s">
        <v>1285</v>
      </c>
      <c r="G18" s="31" t="s">
        <v>1344</v>
      </c>
      <c r="H18" s="33" t="s">
        <v>1287</v>
      </c>
    </row>
    <row r="19" spans="1:8" ht="15" customHeight="1" x14ac:dyDescent="0.35">
      <c r="A19" s="34">
        <v>15</v>
      </c>
      <c r="B19" s="31" t="s">
        <v>1345</v>
      </c>
      <c r="C19" s="31" t="s">
        <v>21</v>
      </c>
      <c r="D19" s="31" t="s">
        <v>1346</v>
      </c>
      <c r="E19" s="31" t="s">
        <v>1347</v>
      </c>
      <c r="F19" s="32" t="s">
        <v>1285</v>
      </c>
      <c r="G19" s="31" t="s">
        <v>1348</v>
      </c>
      <c r="H19" s="33" t="s">
        <v>1287</v>
      </c>
    </row>
    <row r="20" spans="1:8" ht="23.25" customHeight="1" x14ac:dyDescent="0.35">
      <c r="A20" s="34">
        <v>16</v>
      </c>
      <c r="B20" s="31" t="s">
        <v>1349</v>
      </c>
      <c r="C20" s="31" t="s">
        <v>21</v>
      </c>
      <c r="D20" s="31" t="s">
        <v>1350</v>
      </c>
      <c r="E20" s="31" t="s">
        <v>1351</v>
      </c>
      <c r="F20" s="32" t="s">
        <v>1285</v>
      </c>
      <c r="G20" s="31" t="s">
        <v>1352</v>
      </c>
      <c r="H20" s="33" t="s">
        <v>1287</v>
      </c>
    </row>
    <row r="21" spans="1:8" ht="15" customHeight="1" x14ac:dyDescent="0.35">
      <c r="A21" s="34">
        <v>17</v>
      </c>
      <c r="B21" s="31" t="s">
        <v>1353</v>
      </c>
      <c r="C21" s="31" t="s">
        <v>1354</v>
      </c>
      <c r="D21" s="31" t="s">
        <v>1355</v>
      </c>
      <c r="E21" s="31" t="s">
        <v>1356</v>
      </c>
      <c r="F21" s="31" t="s">
        <v>1304</v>
      </c>
      <c r="G21" s="31" t="s">
        <v>1357</v>
      </c>
      <c r="H21" s="33" t="s">
        <v>1287</v>
      </c>
    </row>
    <row r="22" spans="1:8" ht="15" customHeight="1" x14ac:dyDescent="0.35">
      <c r="A22" s="34">
        <v>18</v>
      </c>
      <c r="B22" s="31" t="s">
        <v>1358</v>
      </c>
      <c r="C22" s="31" t="s">
        <v>21</v>
      </c>
      <c r="D22" s="31" t="s">
        <v>1359</v>
      </c>
      <c r="E22" s="31" t="s">
        <v>1360</v>
      </c>
      <c r="F22" s="31" t="s">
        <v>1339</v>
      </c>
      <c r="G22" s="31" t="s">
        <v>1361</v>
      </c>
      <c r="H22" s="33" t="s">
        <v>1287</v>
      </c>
    </row>
    <row r="23" spans="1:8" ht="15" customHeight="1" x14ac:dyDescent="0.35">
      <c r="A23" s="34">
        <v>19</v>
      </c>
      <c r="B23" s="31" t="s">
        <v>1362</v>
      </c>
      <c r="C23" s="31" t="s">
        <v>23</v>
      </c>
      <c r="D23" s="31" t="s">
        <v>1363</v>
      </c>
      <c r="E23" s="31" t="s">
        <v>1364</v>
      </c>
      <c r="F23" s="32" t="s">
        <v>1285</v>
      </c>
      <c r="G23" s="31" t="s">
        <v>1365</v>
      </c>
      <c r="H23" s="33" t="s">
        <v>1287</v>
      </c>
    </row>
    <row r="24" spans="1:8" ht="23.25" customHeight="1" x14ac:dyDescent="0.35">
      <c r="A24" s="34">
        <v>20</v>
      </c>
      <c r="B24" s="31" t="s">
        <v>1366</v>
      </c>
      <c r="C24" s="31" t="s">
        <v>23</v>
      </c>
      <c r="D24" s="31" t="s">
        <v>1367</v>
      </c>
      <c r="E24" s="31" t="s">
        <v>1368</v>
      </c>
      <c r="F24" s="32" t="s">
        <v>1285</v>
      </c>
      <c r="G24" s="31" t="s">
        <v>1369</v>
      </c>
      <c r="H24" s="33" t="s">
        <v>1287</v>
      </c>
    </row>
    <row r="25" spans="1:8" ht="15" customHeight="1" x14ac:dyDescent="0.35">
      <c r="A25" s="34">
        <v>21</v>
      </c>
      <c r="B25" s="31" t="s">
        <v>1370</v>
      </c>
      <c r="C25" s="31" t="s">
        <v>23</v>
      </c>
      <c r="D25" s="31" t="s">
        <v>1371</v>
      </c>
      <c r="E25" s="31" t="s">
        <v>1372</v>
      </c>
      <c r="F25" s="31" t="s">
        <v>1304</v>
      </c>
      <c r="G25" s="31" t="s">
        <v>1373</v>
      </c>
      <c r="H25" s="33" t="s">
        <v>1287</v>
      </c>
    </row>
    <row r="26" spans="1:8" ht="15" customHeight="1" x14ac:dyDescent="0.35">
      <c r="A26" s="34">
        <v>22</v>
      </c>
      <c r="B26" s="31" t="s">
        <v>1374</v>
      </c>
      <c r="C26" s="31" t="s">
        <v>1282</v>
      </c>
      <c r="D26" s="31" t="s">
        <v>1375</v>
      </c>
      <c r="E26" s="31" t="s">
        <v>1376</v>
      </c>
      <c r="F26" s="31" t="s">
        <v>1304</v>
      </c>
      <c r="G26" s="31" t="s">
        <v>1377</v>
      </c>
      <c r="H26" s="33" t="s">
        <v>1287</v>
      </c>
    </row>
  </sheetData>
  <autoFilter ref="A4:H26" xr:uid="{00000000-0009-0000-0000-000009000000}"/>
  <mergeCells count="2">
    <mergeCell ref="A1:H1"/>
    <mergeCell ref="A2:H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zoomScaleNormal="100" workbookViewId="0">
      <pane ySplit="4" topLeftCell="A5" activePane="bottomLeft" state="frozen"/>
      <selection pane="bottomLeft"/>
    </sheetView>
  </sheetViews>
  <sheetFormatPr defaultColWidth="8.7265625" defaultRowHeight="14.5" x14ac:dyDescent="0.35"/>
  <cols>
    <col min="1" max="1" width="5" customWidth="1"/>
    <col min="2" max="2" width="40" customWidth="1"/>
    <col min="3" max="3" width="72" customWidth="1"/>
    <col min="4" max="4" width="30" customWidth="1"/>
    <col min="5" max="5" width="14" customWidth="1"/>
    <col min="6" max="6" width="16" customWidth="1"/>
    <col min="7" max="7" width="12" customWidth="1"/>
    <col min="8" max="8" width="15" customWidth="1"/>
  </cols>
  <sheetData>
    <row r="1" spans="1:8" ht="18" customHeight="1" x14ac:dyDescent="0.4">
      <c r="A1" s="1" t="s">
        <v>1378</v>
      </c>
    </row>
    <row r="2" spans="1:8" ht="15" customHeight="1" x14ac:dyDescent="0.35">
      <c r="A2" s="2" t="s">
        <v>1379</v>
      </c>
    </row>
    <row r="4" spans="1:8" ht="15" customHeight="1" x14ac:dyDescent="0.35">
      <c r="A4" s="6" t="s">
        <v>1014</v>
      </c>
      <c r="B4" s="6" t="s">
        <v>1380</v>
      </c>
      <c r="C4" s="6" t="s">
        <v>1381</v>
      </c>
      <c r="D4" s="6" t="s">
        <v>1382</v>
      </c>
      <c r="E4" s="6" t="s">
        <v>1383</v>
      </c>
      <c r="F4" s="6" t="s">
        <v>1384</v>
      </c>
      <c r="G4" s="6" t="s">
        <v>1385</v>
      </c>
      <c r="H4" s="6" t="s">
        <v>36</v>
      </c>
    </row>
    <row r="5" spans="1:8" ht="23.25" customHeight="1" x14ac:dyDescent="0.35">
      <c r="A5" s="4">
        <v>1</v>
      </c>
      <c r="B5" s="5" t="s">
        <v>1386</v>
      </c>
      <c r="C5" s="5" t="s">
        <v>1387</v>
      </c>
      <c r="D5" s="5" t="s">
        <v>1388</v>
      </c>
      <c r="E5" s="5" t="s">
        <v>1389</v>
      </c>
      <c r="F5" s="5" t="s">
        <v>290</v>
      </c>
      <c r="G5" s="5" t="s">
        <v>183</v>
      </c>
      <c r="H5" s="8" t="s">
        <v>1390</v>
      </c>
    </row>
    <row r="6" spans="1:8" ht="23.25" customHeight="1" x14ac:dyDescent="0.35">
      <c r="A6" s="4">
        <v>2</v>
      </c>
      <c r="B6" s="5" t="s">
        <v>1391</v>
      </c>
      <c r="C6" s="5" t="s">
        <v>1392</v>
      </c>
      <c r="D6" s="5" t="s">
        <v>1393</v>
      </c>
      <c r="E6" s="5" t="s">
        <v>1389</v>
      </c>
      <c r="F6" s="5" t="s">
        <v>290</v>
      </c>
      <c r="G6" s="5" t="s">
        <v>219</v>
      </c>
      <c r="H6" s="8" t="s">
        <v>1390</v>
      </c>
    </row>
    <row r="7" spans="1:8" ht="23.25" customHeight="1" x14ac:dyDescent="0.35">
      <c r="A7" s="4">
        <v>3</v>
      </c>
      <c r="B7" s="5" t="s">
        <v>1394</v>
      </c>
      <c r="C7" s="5" t="s">
        <v>1395</v>
      </c>
      <c r="D7" s="5" t="s">
        <v>1396</v>
      </c>
      <c r="E7" s="5" t="s">
        <v>1389</v>
      </c>
      <c r="F7" s="5" t="s">
        <v>290</v>
      </c>
      <c r="G7" s="5" t="s">
        <v>219</v>
      </c>
      <c r="H7" s="8" t="s">
        <v>1390</v>
      </c>
    </row>
    <row r="8" spans="1:8" ht="15" customHeight="1" x14ac:dyDescent="0.35">
      <c r="A8" s="4">
        <v>4</v>
      </c>
      <c r="B8" s="5" t="s">
        <v>1397</v>
      </c>
      <c r="C8" s="5" t="s">
        <v>1398</v>
      </c>
      <c r="D8" s="5" t="s">
        <v>207</v>
      </c>
      <c r="E8" s="5" t="s">
        <v>1389</v>
      </c>
      <c r="F8" s="5" t="s">
        <v>213</v>
      </c>
      <c r="G8" s="5" t="s">
        <v>1399</v>
      </c>
      <c r="H8" s="8" t="s">
        <v>1390</v>
      </c>
    </row>
    <row r="9" spans="1:8" ht="23.25" customHeight="1" x14ac:dyDescent="0.35">
      <c r="A9" s="4">
        <v>5</v>
      </c>
      <c r="B9" s="5" t="s">
        <v>1400</v>
      </c>
      <c r="C9" s="5" t="s">
        <v>1401</v>
      </c>
      <c r="D9" s="5" t="s">
        <v>388</v>
      </c>
      <c r="E9" s="5" t="s">
        <v>1389</v>
      </c>
      <c r="F9" s="5" t="s">
        <v>290</v>
      </c>
      <c r="G9" s="5" t="s">
        <v>183</v>
      </c>
      <c r="H9" s="8" t="s">
        <v>1390</v>
      </c>
    </row>
    <row r="10" spans="1:8" ht="23.25" customHeight="1" x14ac:dyDescent="0.35">
      <c r="A10" s="4">
        <v>6</v>
      </c>
      <c r="B10" s="5" t="s">
        <v>1402</v>
      </c>
      <c r="C10" s="5" t="s">
        <v>1403</v>
      </c>
      <c r="D10" s="5" t="s">
        <v>1404</v>
      </c>
      <c r="E10" s="5" t="s">
        <v>1389</v>
      </c>
      <c r="F10" s="5" t="s">
        <v>290</v>
      </c>
      <c r="G10" s="5" t="s">
        <v>219</v>
      </c>
      <c r="H10" s="8" t="s">
        <v>1390</v>
      </c>
    </row>
    <row r="11" spans="1:8" ht="15" customHeight="1" x14ac:dyDescent="0.35">
      <c r="A11" s="4">
        <v>7</v>
      </c>
      <c r="B11" s="5" t="s">
        <v>1405</v>
      </c>
      <c r="C11" s="5" t="s">
        <v>1406</v>
      </c>
      <c r="D11" s="5" t="s">
        <v>365</v>
      </c>
      <c r="E11" s="5" t="s">
        <v>1389</v>
      </c>
      <c r="F11" s="5" t="s">
        <v>328</v>
      </c>
      <c r="G11" s="5" t="s">
        <v>219</v>
      </c>
      <c r="H11" s="8" t="s">
        <v>1390</v>
      </c>
    </row>
    <row r="12" spans="1:8" ht="15" customHeight="1" x14ac:dyDescent="0.35">
      <c r="A12" s="4">
        <v>8</v>
      </c>
      <c r="B12" s="5" t="s">
        <v>1407</v>
      </c>
      <c r="C12" s="5" t="s">
        <v>1408</v>
      </c>
      <c r="D12" s="5" t="s">
        <v>1409</v>
      </c>
      <c r="E12" s="5" t="s">
        <v>1389</v>
      </c>
      <c r="F12" s="5" t="s">
        <v>290</v>
      </c>
      <c r="G12" s="5" t="s">
        <v>1410</v>
      </c>
      <c r="H12" s="8" t="s">
        <v>1390</v>
      </c>
    </row>
    <row r="13" spans="1:8" ht="15" customHeight="1" x14ac:dyDescent="0.35">
      <c r="A13" s="4">
        <v>9</v>
      </c>
      <c r="B13" s="5" t="s">
        <v>1411</v>
      </c>
      <c r="C13" s="5" t="s">
        <v>1412</v>
      </c>
      <c r="D13" s="5" t="s">
        <v>1413</v>
      </c>
      <c r="E13" s="5" t="s">
        <v>1389</v>
      </c>
      <c r="F13" s="5" t="s">
        <v>290</v>
      </c>
      <c r="G13" s="5" t="s">
        <v>457</v>
      </c>
      <c r="H13" s="8" t="s">
        <v>1390</v>
      </c>
    </row>
    <row r="14" spans="1:8" ht="15" customHeight="1" x14ac:dyDescent="0.35">
      <c r="A14" s="4">
        <v>10</v>
      </c>
      <c r="B14" s="5" t="s">
        <v>1414</v>
      </c>
      <c r="C14" s="5" t="s">
        <v>1415</v>
      </c>
      <c r="D14" s="5" t="s">
        <v>408</v>
      </c>
      <c r="E14" s="5" t="s">
        <v>1416</v>
      </c>
      <c r="F14" s="5" t="s">
        <v>1417</v>
      </c>
      <c r="G14" s="5" t="s">
        <v>251</v>
      </c>
      <c r="H14" s="8" t="s">
        <v>1390</v>
      </c>
    </row>
    <row r="15" spans="1:8" ht="15" customHeight="1" x14ac:dyDescent="0.35">
      <c r="A15" s="4">
        <v>11</v>
      </c>
      <c r="B15" s="5" t="s">
        <v>1418</v>
      </c>
      <c r="C15" s="5" t="s">
        <v>1419</v>
      </c>
      <c r="D15" s="5" t="s">
        <v>419</v>
      </c>
      <c r="E15" s="5" t="s">
        <v>1389</v>
      </c>
      <c r="F15" s="5" t="s">
        <v>213</v>
      </c>
      <c r="G15" s="5" t="s">
        <v>251</v>
      </c>
      <c r="H15" s="8" t="s">
        <v>1390</v>
      </c>
    </row>
    <row r="16" spans="1:8" ht="15" customHeight="1" x14ac:dyDescent="0.35">
      <c r="A16" s="4">
        <v>12</v>
      </c>
      <c r="B16" s="5" t="s">
        <v>1420</v>
      </c>
      <c r="C16" s="5" t="s">
        <v>1421</v>
      </c>
      <c r="D16" s="5" t="s">
        <v>900</v>
      </c>
      <c r="E16" s="5" t="s">
        <v>1389</v>
      </c>
      <c r="F16" s="5" t="s">
        <v>1422</v>
      </c>
      <c r="G16" s="5" t="s">
        <v>251</v>
      </c>
      <c r="H16" s="8" t="s">
        <v>1390</v>
      </c>
    </row>
    <row r="17" spans="1:8" ht="23.25" customHeight="1" x14ac:dyDescent="0.35">
      <c r="A17" s="4">
        <v>13</v>
      </c>
      <c r="B17" s="5" t="s">
        <v>1423</v>
      </c>
      <c r="C17" s="5" t="s">
        <v>1424</v>
      </c>
      <c r="D17" s="5" t="s">
        <v>231</v>
      </c>
      <c r="E17" s="5" t="s">
        <v>1389</v>
      </c>
      <c r="F17" s="5" t="s">
        <v>290</v>
      </c>
      <c r="G17" s="5" t="s">
        <v>1410</v>
      </c>
      <c r="H17" s="8" t="s">
        <v>1390</v>
      </c>
    </row>
    <row r="18" spans="1:8" ht="15" customHeight="1" x14ac:dyDescent="0.35">
      <c r="A18" s="4">
        <v>14</v>
      </c>
      <c r="B18" s="5" t="s">
        <v>1425</v>
      </c>
      <c r="C18" s="5" t="s">
        <v>1426</v>
      </c>
      <c r="D18" s="5" t="s">
        <v>1427</v>
      </c>
      <c r="E18" s="5" t="s">
        <v>1389</v>
      </c>
      <c r="F18" s="5" t="s">
        <v>213</v>
      </c>
      <c r="G18" s="5" t="s">
        <v>1428</v>
      </c>
      <c r="H18" s="8" t="s">
        <v>1390</v>
      </c>
    </row>
  </sheetData>
  <conditionalFormatting sqref="E5:E18">
    <cfRule type="cellIs" dxfId="12" priority="4" operator="equal">
      <formula>"Must clear"</formula>
    </cfRule>
  </conditionalFormatting>
  <conditionalFormatting sqref="H5:H18">
    <cfRule type="cellIs" dxfId="11" priority="2" operator="equal">
      <formula>"Done"</formula>
    </cfRule>
    <cfRule type="cellIs" dxfId="10" priority="3" operator="equal">
      <formula>"Blocked"</formula>
    </cfRule>
  </conditionalFormatting>
  <dataValidations count="1">
    <dataValidation type="list" allowBlank="1" sqref="H5:H18" xr:uid="{00000000-0002-0000-0A00-000000000000}">
      <formula1>"Not started,In progress,Done,Blocked"</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8"/>
  <sheetViews>
    <sheetView showGridLines="0" topLeftCell="C1" zoomScaleNormal="100" workbookViewId="0">
      <pane ySplit="4" topLeftCell="A5" activePane="bottomLeft" state="frozen"/>
      <selection pane="bottomLeft" activeCell="D10" sqref="D10"/>
    </sheetView>
  </sheetViews>
  <sheetFormatPr defaultColWidth="8.7265625" defaultRowHeight="14.5" x14ac:dyDescent="0.35"/>
  <cols>
    <col min="1" max="1" width="5" style="10" customWidth="1"/>
    <col min="2" max="2" width="42" style="10" customWidth="1"/>
    <col min="3" max="3" width="74" style="10" customWidth="1"/>
    <col min="4" max="4" width="32" style="10" customWidth="1"/>
    <col min="5" max="5" width="16" style="10" customWidth="1"/>
    <col min="6" max="6" width="18" style="10" customWidth="1"/>
    <col min="7" max="7" width="13" style="10" customWidth="1"/>
    <col min="8" max="8" width="15" style="10" customWidth="1"/>
    <col min="9" max="16384" width="8.7265625" style="10"/>
  </cols>
  <sheetData>
    <row r="1" spans="1:8" ht="19.5" x14ac:dyDescent="0.45">
      <c r="A1" s="36" t="s">
        <v>1490</v>
      </c>
      <c r="B1" s="36"/>
      <c r="C1" s="36"/>
      <c r="D1" s="36"/>
      <c r="E1" s="36"/>
      <c r="F1" s="36"/>
      <c r="G1" s="36"/>
      <c r="H1" s="36"/>
    </row>
    <row r="2" spans="1:8" x14ac:dyDescent="0.35">
      <c r="A2" s="37" t="s">
        <v>1429</v>
      </c>
      <c r="B2" s="37"/>
      <c r="C2" s="37"/>
      <c r="D2" s="37"/>
      <c r="E2" s="37"/>
      <c r="F2" s="37"/>
      <c r="G2" s="37"/>
      <c r="H2" s="37"/>
    </row>
    <row r="4" spans="1:8" x14ac:dyDescent="0.35">
      <c r="A4" s="35" t="s">
        <v>242</v>
      </c>
      <c r="B4" s="35" t="s">
        <v>1380</v>
      </c>
      <c r="C4" s="35" t="s">
        <v>1430</v>
      </c>
      <c r="D4" s="35" t="s">
        <v>1431</v>
      </c>
      <c r="E4" s="35" t="s">
        <v>51</v>
      </c>
      <c r="F4" s="35" t="s">
        <v>61</v>
      </c>
      <c r="G4" s="35" t="s">
        <v>1432</v>
      </c>
      <c r="H4" s="35" t="s">
        <v>36</v>
      </c>
    </row>
    <row r="5" spans="1:8" ht="26" x14ac:dyDescent="0.35">
      <c r="A5" s="34">
        <v>1</v>
      </c>
      <c r="B5" s="31" t="s">
        <v>1433</v>
      </c>
      <c r="C5" s="31" t="s">
        <v>1434</v>
      </c>
      <c r="D5" s="31" t="s">
        <v>1388</v>
      </c>
      <c r="E5" s="31" t="s">
        <v>1435</v>
      </c>
      <c r="F5" s="31" t="s">
        <v>290</v>
      </c>
      <c r="G5" s="31" t="s">
        <v>183</v>
      </c>
      <c r="H5" s="33" t="s">
        <v>1436</v>
      </c>
    </row>
    <row r="6" spans="1:8" ht="26" x14ac:dyDescent="0.35">
      <c r="A6" s="34">
        <v>2</v>
      </c>
      <c r="B6" s="31" t="s">
        <v>1437</v>
      </c>
      <c r="C6" s="31" t="s">
        <v>1438</v>
      </c>
      <c r="D6" s="31" t="s">
        <v>1393</v>
      </c>
      <c r="E6" s="31" t="s">
        <v>1435</v>
      </c>
      <c r="F6" s="31" t="s">
        <v>290</v>
      </c>
      <c r="G6" s="31" t="s">
        <v>219</v>
      </c>
      <c r="H6" s="33" t="s">
        <v>1436</v>
      </c>
    </row>
    <row r="7" spans="1:8" ht="26" x14ac:dyDescent="0.35">
      <c r="A7" s="34">
        <v>3</v>
      </c>
      <c r="B7" s="31" t="s">
        <v>1439</v>
      </c>
      <c r="C7" s="31" t="s">
        <v>1440</v>
      </c>
      <c r="D7" s="31" t="s">
        <v>1396</v>
      </c>
      <c r="E7" s="31" t="s">
        <v>1435</v>
      </c>
      <c r="F7" s="31" t="s">
        <v>290</v>
      </c>
      <c r="G7" s="31" t="s">
        <v>219</v>
      </c>
      <c r="H7" s="33" t="s">
        <v>1436</v>
      </c>
    </row>
    <row r="8" spans="1:8" x14ac:dyDescent="0.35">
      <c r="A8" s="34">
        <v>4</v>
      </c>
      <c r="B8" s="31" t="s">
        <v>1441</v>
      </c>
      <c r="C8" s="31" t="s">
        <v>1442</v>
      </c>
      <c r="D8" s="31" t="s">
        <v>207</v>
      </c>
      <c r="E8" s="31" t="s">
        <v>1435</v>
      </c>
      <c r="F8" s="31" t="s">
        <v>540</v>
      </c>
      <c r="G8" s="31" t="s">
        <v>1399</v>
      </c>
      <c r="H8" s="33" t="s">
        <v>1436</v>
      </c>
    </row>
    <row r="9" spans="1:8" ht="26" x14ac:dyDescent="0.35">
      <c r="A9" s="34">
        <v>5</v>
      </c>
      <c r="B9" s="31" t="s">
        <v>1443</v>
      </c>
      <c r="C9" s="31" t="s">
        <v>1486</v>
      </c>
      <c r="D9" s="31" t="s">
        <v>388</v>
      </c>
      <c r="E9" s="31" t="s">
        <v>1435</v>
      </c>
      <c r="F9" s="31" t="s">
        <v>290</v>
      </c>
      <c r="G9" s="31" t="s">
        <v>183</v>
      </c>
      <c r="H9" s="33" t="s">
        <v>1436</v>
      </c>
    </row>
    <row r="10" spans="1:8" ht="26" x14ac:dyDescent="0.35">
      <c r="A10" s="34">
        <v>6</v>
      </c>
      <c r="B10" s="31" t="s">
        <v>1444</v>
      </c>
      <c r="C10" s="31" t="s">
        <v>1445</v>
      </c>
      <c r="D10" s="31" t="s">
        <v>1487</v>
      </c>
      <c r="E10" s="31" t="s">
        <v>1435</v>
      </c>
      <c r="F10" s="31" t="s">
        <v>290</v>
      </c>
      <c r="G10" s="31" t="s">
        <v>219</v>
      </c>
      <c r="H10" s="33" t="s">
        <v>1436</v>
      </c>
    </row>
    <row r="11" spans="1:8" x14ac:dyDescent="0.35">
      <c r="A11" s="34">
        <v>7</v>
      </c>
      <c r="B11" s="31" t="s">
        <v>1446</v>
      </c>
      <c r="C11" s="31" t="s">
        <v>1447</v>
      </c>
      <c r="D11" s="31" t="s">
        <v>365</v>
      </c>
      <c r="E11" s="31" t="s">
        <v>1435</v>
      </c>
      <c r="F11" s="31" t="s">
        <v>328</v>
      </c>
      <c r="G11" s="31" t="s">
        <v>219</v>
      </c>
      <c r="H11" s="33" t="s">
        <v>1436</v>
      </c>
    </row>
    <row r="12" spans="1:8" ht="26" x14ac:dyDescent="0.35">
      <c r="A12" s="34">
        <v>8</v>
      </c>
      <c r="B12" s="31" t="s">
        <v>1448</v>
      </c>
      <c r="C12" s="31" t="s">
        <v>1449</v>
      </c>
      <c r="D12" s="31" t="s">
        <v>1409</v>
      </c>
      <c r="E12" s="31" t="s">
        <v>1435</v>
      </c>
      <c r="F12" s="31" t="s">
        <v>290</v>
      </c>
      <c r="G12" s="31" t="s">
        <v>1410</v>
      </c>
      <c r="H12" s="33" t="s">
        <v>1436</v>
      </c>
    </row>
    <row r="13" spans="1:8" x14ac:dyDescent="0.35">
      <c r="A13" s="34">
        <v>9</v>
      </c>
      <c r="B13" s="31" t="s">
        <v>1450</v>
      </c>
      <c r="C13" s="31" t="s">
        <v>1451</v>
      </c>
      <c r="D13" s="31" t="s">
        <v>1413</v>
      </c>
      <c r="E13" s="31" t="s">
        <v>1435</v>
      </c>
      <c r="F13" s="31" t="s">
        <v>290</v>
      </c>
      <c r="G13" s="31" t="s">
        <v>457</v>
      </c>
      <c r="H13" s="33" t="s">
        <v>1436</v>
      </c>
    </row>
    <row r="14" spans="1:8" x14ac:dyDescent="0.35">
      <c r="A14" s="34">
        <v>10</v>
      </c>
      <c r="B14" s="31" t="s">
        <v>1452</v>
      </c>
      <c r="C14" s="31" t="s">
        <v>1453</v>
      </c>
      <c r="D14" s="31" t="s">
        <v>408</v>
      </c>
      <c r="E14" s="31" t="s">
        <v>1454</v>
      </c>
      <c r="F14" s="31" t="s">
        <v>1417</v>
      </c>
      <c r="G14" s="31" t="s">
        <v>251</v>
      </c>
      <c r="H14" s="33" t="s">
        <v>1436</v>
      </c>
    </row>
    <row r="15" spans="1:8" ht="26" x14ac:dyDescent="0.35">
      <c r="A15" s="34">
        <v>11</v>
      </c>
      <c r="B15" s="31" t="s">
        <v>1455</v>
      </c>
      <c r="C15" s="31" t="s">
        <v>1456</v>
      </c>
      <c r="D15" s="31" t="s">
        <v>419</v>
      </c>
      <c r="E15" s="31" t="s">
        <v>1435</v>
      </c>
      <c r="F15" s="31" t="s">
        <v>540</v>
      </c>
      <c r="G15" s="31" t="s">
        <v>251</v>
      </c>
      <c r="H15" s="33" t="s">
        <v>1488</v>
      </c>
    </row>
    <row r="16" spans="1:8" x14ac:dyDescent="0.35">
      <c r="A16" s="34">
        <v>12</v>
      </c>
      <c r="B16" s="31" t="s">
        <v>1457</v>
      </c>
      <c r="C16" s="31" t="s">
        <v>1458</v>
      </c>
      <c r="D16" s="31" t="s">
        <v>900</v>
      </c>
      <c r="E16" s="31" t="s">
        <v>1435</v>
      </c>
      <c r="F16" s="31" t="s">
        <v>1459</v>
      </c>
      <c r="G16" s="31" t="s">
        <v>251</v>
      </c>
      <c r="H16" s="33" t="s">
        <v>1436</v>
      </c>
    </row>
    <row r="17" spans="1:8" ht="26" x14ac:dyDescent="0.35">
      <c r="A17" s="34">
        <v>13</v>
      </c>
      <c r="B17" s="31" t="s">
        <v>1460</v>
      </c>
      <c r="C17" s="31" t="s">
        <v>1461</v>
      </c>
      <c r="D17" s="31" t="s">
        <v>231</v>
      </c>
      <c r="E17" s="31" t="s">
        <v>1435</v>
      </c>
      <c r="F17" s="31" t="s">
        <v>290</v>
      </c>
      <c r="G17" s="31" t="s">
        <v>1410</v>
      </c>
      <c r="H17" s="33" t="s">
        <v>1436</v>
      </c>
    </row>
    <row r="18" spans="1:8" x14ac:dyDescent="0.35">
      <c r="A18" s="34">
        <v>14</v>
      </c>
      <c r="B18" s="31" t="s">
        <v>1462</v>
      </c>
      <c r="C18" s="31" t="s">
        <v>1489</v>
      </c>
      <c r="D18" s="31" t="s">
        <v>1427</v>
      </c>
      <c r="E18" s="31" t="s">
        <v>1435</v>
      </c>
      <c r="F18" s="31" t="s">
        <v>540</v>
      </c>
      <c r="G18" s="31" t="s">
        <v>1428</v>
      </c>
      <c r="H18" s="33" t="s">
        <v>1436</v>
      </c>
    </row>
  </sheetData>
  <mergeCells count="2">
    <mergeCell ref="A1:H1"/>
    <mergeCell ref="A2:H2"/>
  </mergeCells>
  <conditionalFormatting sqref="E5:E18">
    <cfRule type="cellIs" dxfId="9" priority="3" operator="equal">
      <formula>"Wajib tuntas"</formula>
    </cfRule>
  </conditionalFormatting>
  <conditionalFormatting sqref="H5:H18">
    <cfRule type="cellIs" dxfId="8" priority="1" operator="equal">
      <formula>"Selesai"</formula>
    </cfRule>
    <cfRule type="cellIs" dxfId="7" priority="2" operator="equal">
      <formula>"Terhambat"</formula>
    </cfRule>
  </conditionalFormatting>
  <dataValidations count="1">
    <dataValidation type="list" allowBlank="1" sqref="H5:H18" xr:uid="{1C0A84E0-FACA-4CAD-92C8-497477EE444E}">
      <formula1>"Belum mulai,Sedang dikerjakan,Selesai,Terhambat"</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0FE48-6DA1-4637-82F7-1A284EF16D83}">
  <dimension ref="A1:M69"/>
  <sheetViews>
    <sheetView tabSelected="1" topLeftCell="A45" zoomScale="104" workbookViewId="0">
      <selection activeCell="D47" sqref="D47"/>
    </sheetView>
  </sheetViews>
  <sheetFormatPr defaultRowHeight="14.5" x14ac:dyDescent="0.35"/>
  <cols>
    <col min="1" max="1" width="19.08984375" customWidth="1"/>
    <col min="2" max="2" width="10.54296875" customWidth="1"/>
    <col min="3" max="3" width="14.1796875" customWidth="1"/>
    <col min="4" max="5" width="30.90625" customWidth="1"/>
    <col min="6" max="6" width="16.36328125" customWidth="1"/>
    <col min="7" max="7" width="13.08984375" customWidth="1"/>
    <col min="8" max="8" width="15.453125" customWidth="1"/>
    <col min="9" max="10" width="36.36328125" customWidth="1"/>
    <col min="11" max="11" width="15.453125" customWidth="1"/>
    <col min="12" max="12" width="20" customWidth="1"/>
    <col min="13" max="13" width="36.36328125" customWidth="1"/>
    <col min="14" max="15" width="13.08984375" customWidth="1"/>
    <col min="16" max="16" width="19.08984375" customWidth="1"/>
  </cols>
  <sheetData>
    <row r="1" spans="1:13" ht="32" customHeight="1" x14ac:dyDescent="0.35">
      <c r="A1" s="43" t="s">
        <v>1498</v>
      </c>
      <c r="B1" s="43"/>
      <c r="C1" s="43"/>
      <c r="D1" s="43"/>
      <c r="E1" s="43"/>
      <c r="F1" s="43"/>
      <c r="G1" s="43"/>
      <c r="H1" s="43"/>
      <c r="I1" s="43"/>
      <c r="J1" s="43"/>
      <c r="K1" s="43"/>
      <c r="L1" s="43"/>
      <c r="M1" s="43"/>
    </row>
    <row r="2" spans="1:13" ht="28" customHeight="1" x14ac:dyDescent="0.35">
      <c r="A2" s="44" t="s">
        <v>1631</v>
      </c>
      <c r="B2" s="44"/>
      <c r="C2" s="44"/>
      <c r="D2" s="44"/>
      <c r="E2" s="44"/>
      <c r="F2" s="44"/>
      <c r="G2" s="44"/>
      <c r="H2" s="44"/>
      <c r="I2" s="44"/>
      <c r="J2" s="44"/>
      <c r="K2" s="44"/>
      <c r="L2" s="44"/>
      <c r="M2" s="44"/>
    </row>
    <row r="3" spans="1:13" ht="30" customHeight="1" x14ac:dyDescent="0.35">
      <c r="A3" s="56" t="s">
        <v>1632</v>
      </c>
      <c r="B3" s="56"/>
      <c r="C3" s="56"/>
      <c r="D3" s="56"/>
      <c r="E3" s="56"/>
      <c r="F3" s="56"/>
      <c r="G3" s="56"/>
      <c r="H3" s="56"/>
      <c r="I3" s="56"/>
      <c r="J3" s="56"/>
      <c r="K3" s="56"/>
      <c r="L3" s="56"/>
      <c r="M3" s="56"/>
    </row>
    <row r="4" spans="1:13" ht="22" customHeight="1" x14ac:dyDescent="0.35">
      <c r="A4" s="45" t="s">
        <v>1499</v>
      </c>
      <c r="B4" s="45"/>
      <c r="C4" s="45"/>
      <c r="D4" s="45"/>
      <c r="E4" s="45"/>
      <c r="F4" s="45"/>
      <c r="G4" s="45"/>
      <c r="H4" s="45"/>
      <c r="I4" s="45"/>
      <c r="J4" s="45"/>
      <c r="K4" s="45"/>
      <c r="L4" s="45"/>
      <c r="M4" s="45"/>
    </row>
    <row r="5" spans="1:13" ht="42" customHeight="1" x14ac:dyDescent="0.35">
      <c r="A5" s="46" t="s">
        <v>1504</v>
      </c>
      <c r="B5" s="46"/>
      <c r="C5" s="46" t="s">
        <v>1505</v>
      </c>
      <c r="D5" s="46"/>
      <c r="E5" s="46" t="s">
        <v>1506</v>
      </c>
      <c r="F5" s="46"/>
      <c r="G5" s="46" t="s">
        <v>1507</v>
      </c>
      <c r="H5" s="46"/>
      <c r="I5" s="52" t="s">
        <v>1633</v>
      </c>
      <c r="J5" s="52"/>
      <c r="K5" s="52"/>
      <c r="L5" s="52"/>
    </row>
    <row r="6" spans="1:13" ht="28" customHeight="1" x14ac:dyDescent="0.5">
      <c r="A6" s="47"/>
      <c r="B6" s="50">
        <f>COUNTIF(H10:H67,"Belum selesai")</f>
        <v>58</v>
      </c>
      <c r="C6" s="47"/>
      <c r="D6" s="47">
        <f>COUNTIFS('01B_Findings_ID'!$N$5:$N$66,"Terbuka",'01B_Findings_ID'!$G$5:$G$66,"Ya")</f>
        <v>37</v>
      </c>
      <c r="E6" s="47"/>
      <c r="F6" s="47">
        <f>COUNTIFS('01B_Findings_ID'!$N$5:$N$66,"Terbuka",'01B_Findings_ID'!$F$5:$F$66,"Kritis")</f>
        <v>7</v>
      </c>
      <c r="G6" s="47"/>
      <c r="H6" s="47" cm="1">
        <f t="array" ref="H6">SUMPRODUCT(--('01B_Findings_ID'!$N$5:$N$66="Terbuka"),--(IFERROR(DATEVALUE('01B_Findings_ID'!$M$5:$M$66),0)&gt;=DATE(2026,7,30)),--(IFERROR(DATEVALUE('01B_Findings_ID'!$M$5:$M$66),0)&lt;=DATE(2026,8,6)))</f>
        <v>29</v>
      </c>
      <c r="I6" s="53"/>
      <c r="J6" s="53"/>
      <c r="K6" s="53"/>
      <c r="L6" s="53"/>
    </row>
    <row r="8" spans="1:13" ht="22" customHeight="1" x14ac:dyDescent="0.35">
      <c r="A8" s="45" t="s">
        <v>1671</v>
      </c>
      <c r="B8" s="45"/>
      <c r="C8" s="45"/>
      <c r="D8" s="45"/>
      <c r="E8" s="45"/>
      <c r="F8" s="45"/>
      <c r="G8" s="45"/>
      <c r="H8" s="45"/>
      <c r="I8" s="45"/>
      <c r="J8" s="45"/>
      <c r="K8" s="45"/>
      <c r="L8" s="45"/>
      <c r="M8" s="45"/>
    </row>
    <row r="9" spans="1:13" x14ac:dyDescent="0.35">
      <c r="A9" t="s">
        <v>1629</v>
      </c>
      <c r="B9" t="s">
        <v>50</v>
      </c>
      <c r="C9" t="s">
        <v>16</v>
      </c>
      <c r="D9" t="s">
        <v>1500</v>
      </c>
      <c r="E9" t="s">
        <v>1508</v>
      </c>
      <c r="F9" t="s">
        <v>1501</v>
      </c>
      <c r="G9" t="s">
        <v>1502</v>
      </c>
      <c r="H9" t="s">
        <v>1628</v>
      </c>
      <c r="I9" t="s">
        <v>1509</v>
      </c>
      <c r="J9" t="s">
        <v>1510</v>
      </c>
      <c r="K9" t="s">
        <v>1630</v>
      </c>
      <c r="L9" t="s">
        <v>1511</v>
      </c>
      <c r="M9" s="51" t="s">
        <v>1635</v>
      </c>
    </row>
    <row r="10" spans="1:13" ht="87" x14ac:dyDescent="0.35">
      <c r="A10" s="49" t="str">
        <f>IF(INDEX('01B_Findings_ID'!$G$5:$G$66,MATCH(B10,'01B_Findings_ID'!$A$5:$A$66,0))="Ya",IF(INDEX('01B_Findings_ID'!$F$5:$F$66,MATCH(B10,'01B_Findings_ID'!$A$5:$A$66,0))="Kritis","Sangat mendesak",IF(INDEX('01B_Findings_ID'!$F$5:$F$66,MATCH(B10,'01B_Findings_ID'!$A$5:$A$66,0))="Tinggi","Mendesak","Penting")),IF(INDEX('01B_Findings_ID'!$F$5:$F$66,MATCH(B10,'01B_Findings_ID'!$A$5:$A$66,0))="Kritis","Mendesak",IF(INDEX('01B_Findings_ID'!$F$5:$F$66,MATCH(B10,'01B_Findings_ID'!$A$5:$A$66,0))="Tinggi","Penting","Dapat dijadwalkan")))</f>
        <v>Sangat mendesak</v>
      </c>
      <c r="B10" s="48" t="str">
        <f>'01B_Findings_ID'!A5</f>
        <v>QC-001</v>
      </c>
      <c r="C10" s="49" t="str">
        <f>'01B_Findings_ID'!C5</f>
        <v>Leakage</v>
      </c>
      <c r="D10" s="49" t="str">
        <f>'01B_Findings_ID'!H5</f>
        <v>Grafik kategori Leakage menampilkan nol semua</v>
      </c>
      <c r="E10" s="49" t="str">
        <f>'01B_Findings_ID'!J5</f>
        <v>Jumlah per kategori harus sama dengan 7.845 mn yang tampil di KPI 'Flagged this cycle'.</v>
      </c>
      <c r="F10" s="49" t="str">
        <f>'01B_Findings_ID'!L5</f>
        <v>Backend / data</v>
      </c>
      <c r="G10" s="55" t="str">
        <f>'01B_Findings_ID'!M5</f>
        <v>2026-07-31</v>
      </c>
      <c r="H10" s="49" t="str">
        <f>IF(INDEX('01B_Findings_ID'!$N$5:$N$66,MATCH(B10,'01B_Findings_ID'!$A$5:$A$66,0))="Terbuka","Belum selesai",INDEX('01B_Findings_ID'!$N$5:$N$66,MATCH(B10,'01B_Findings_ID'!$A$5:$A$66,0)))</f>
        <v>Belum selesai</v>
      </c>
      <c r="I10" s="49" t="s">
        <v>1512</v>
      </c>
      <c r="J10" s="49" t="s">
        <v>1513</v>
      </c>
      <c r="K10" s="54" t="s">
        <v>1634</v>
      </c>
      <c r="L10" s="54" t="str">
        <f>IF(H10&lt;&gt;"Belum selesai","Sudah ditutup",IF(IFERROR(DATEVALUE(G10),G10)&lt;DATE(2026,7,30),"Lewat target",IF(IFERROR(DATEVALUE(G10),G10)=DATE(2026,7,30),"Jatuh tempo hari ini",IF(IFERROR(DATEVALUE(G10),G10)&lt;=DATE(2026,8,6),"Segera: maksimal 7 hari","Masih ada waktu"))))</f>
        <v>Segera: maksimal 7 hari</v>
      </c>
      <c r="M10" s="49" t="s">
        <v>1636</v>
      </c>
    </row>
    <row r="11" spans="1:13" ht="72.5" x14ac:dyDescent="0.35">
      <c r="A11" s="57" t="str">
        <f>IF(INDEX('01B_Findings_ID'!$G$5:$G$66,MATCH(B11,'01B_Findings_ID'!$A$5:$A$66,0))="Ya",IF(INDEX('01B_Findings_ID'!$F$5:$F$66,MATCH(B11,'01B_Findings_ID'!$A$5:$A$66,0))="Kritis","Sangat mendesak",IF(INDEX('01B_Findings_ID'!$F$5:$F$66,MATCH(B11,'01B_Findings_ID'!$A$5:$A$66,0))="Tinggi","Mendesak","Penting")),IF(INDEX('01B_Findings_ID'!$F$5:$F$66,MATCH(B11,'01B_Findings_ID'!$A$5:$A$66,0))="Kritis","Mendesak",IF(INDEX('01B_Findings_ID'!$F$5:$F$66,MATCH(B11,'01B_Findings_ID'!$A$5:$A$66,0))="Tinggi","Penting","Dapat dijadwalkan")))</f>
        <v>Sangat mendesak</v>
      </c>
      <c r="B11" s="58" t="str">
        <f>'01B_Findings_ID'!A6</f>
        <v>QC-002</v>
      </c>
      <c r="C11" s="57" t="str">
        <f>'01B_Findings_ID'!C6</f>
        <v>Semua agent</v>
      </c>
      <c r="D11" s="57" t="str">
        <f>'01B_Findings_ID'!H6</f>
        <v>Empat agent berjalan di atas empat batch data yang tidak berhubungan</v>
      </c>
      <c r="E11" s="57" t="str">
        <f>'01B_Findings_ID'!J6</f>
        <v>Satu ledger bersama, sehingga setiap angka bisa ditelusuri lintas agent.</v>
      </c>
      <c r="F11" s="57" t="str">
        <f>'01B_Findings_ID'!L6</f>
        <v>Backend / data</v>
      </c>
      <c r="G11" s="59" t="str">
        <f>'01B_Findings_ID'!M6</f>
        <v>2026-07-31</v>
      </c>
      <c r="H11" s="57" t="str">
        <f>IF(INDEX('01B_Findings_ID'!$N$5:$N$66,MATCH(B11,'01B_Findings_ID'!$A$5:$A$66,0))="Terbuka","Belum selesai",INDEX('01B_Findings_ID'!$N$5:$N$66,MATCH(B11,'01B_Findings_ID'!$A$5:$A$66,0)))</f>
        <v>Belum selesai</v>
      </c>
      <c r="I11" s="57" t="s">
        <v>1514</v>
      </c>
      <c r="J11" s="57" t="s">
        <v>1515</v>
      </c>
      <c r="K11" s="60" t="s">
        <v>1503</v>
      </c>
      <c r="L11" s="60" t="str">
        <f>IF(H11&lt;&gt;"Belum selesai","Sudah ditutup",IF(IFERROR(DATEVALUE(G11),G11)&lt;DATE(2026,7,30),"Lewat target",IF(IFERROR(DATEVALUE(G11),G11)=DATE(2026,7,30),"Jatuh tempo hari ini",IF(IFERROR(DATEVALUE(G11),G11)&lt;=DATE(2026,8,6),"Segera: maksimal 7 hari","Masih ada waktu"))))</f>
        <v>Segera: maksimal 7 hari</v>
      </c>
      <c r="M11" s="49" t="s">
        <v>1637</v>
      </c>
    </row>
    <row r="12" spans="1:13" ht="87" x14ac:dyDescent="0.35">
      <c r="A12" s="49" t="str">
        <f>IF(INDEX('01B_Findings_ID'!$G$5:$G$66,MATCH(B12,'01B_Findings_ID'!$A$5:$A$66,0))="Ya",IF(INDEX('01B_Findings_ID'!$F$5:$F$66,MATCH(B12,'01B_Findings_ID'!$A$5:$A$66,0))="Kritis","Sangat mendesak",IF(INDEX('01B_Findings_ID'!$F$5:$F$66,MATCH(B12,'01B_Findings_ID'!$A$5:$A$66,0))="Tinggi","Mendesak","Penting")),IF(INDEX('01B_Findings_ID'!$F$5:$F$66,MATCH(B12,'01B_Findings_ID'!$A$5:$A$66,0))="Kritis","Mendesak",IF(INDEX('01B_Findings_ID'!$F$5:$F$66,MATCH(B12,'01B_Findings_ID'!$A$5:$A$66,0))="Tinggi","Penting","Dapat dijadwalkan")))</f>
        <v>Sangat mendesak</v>
      </c>
      <c r="B12" s="48" t="str">
        <f>'01B_Findings_ID'!A7</f>
        <v>QC-003</v>
      </c>
      <c r="C12" s="49" t="str">
        <f>'01B_Findings_ID'!C7</f>
        <v>Finance + Collection</v>
      </c>
      <c r="D12" s="49" t="str">
        <f>'01B_Findings_ID'!H7</f>
        <v>Basis pendapatan Collection sekitar 15 kali lipat pendapatan Finance</v>
      </c>
      <c r="E12" s="49" t="str">
        <f>'01B_Findings_ID'!J7</f>
        <v>DSO harus dibagi dengan pendapatan yang sama dengan yang dilaporkan agent Finance.</v>
      </c>
      <c r="F12" s="49" t="str">
        <f>'01B_Findings_ID'!L7</f>
        <v>Backend / data</v>
      </c>
      <c r="G12" s="55" t="str">
        <f>'01B_Findings_ID'!M7</f>
        <v>2026-07-31</v>
      </c>
      <c r="H12" s="49" t="str">
        <f>IF(INDEX('01B_Findings_ID'!$N$5:$N$66,MATCH(B12,'01B_Findings_ID'!$A$5:$A$66,0))="Terbuka","Belum selesai",INDEX('01B_Findings_ID'!$N$5:$N$66,MATCH(B12,'01B_Findings_ID'!$A$5:$A$66,0)))</f>
        <v>Belum selesai</v>
      </c>
      <c r="I12" s="49" t="s">
        <v>1516</v>
      </c>
      <c r="J12" s="49" t="s">
        <v>1517</v>
      </c>
      <c r="K12" s="54" t="s">
        <v>1503</v>
      </c>
      <c r="L12" s="54" t="str">
        <f>IF(H12&lt;&gt;"Belum selesai","Sudah ditutup",IF(IFERROR(DATEVALUE(G12),G12)&lt;DATE(2026,7,30),"Lewat target",IF(IFERROR(DATEVALUE(G12),G12)=DATE(2026,7,30),"Jatuh tempo hari ini",IF(IFERROR(DATEVALUE(G12),G12)&lt;=DATE(2026,8,6),"Segera: maksimal 7 hari","Masih ada waktu"))))</f>
        <v>Segera: maksimal 7 hari</v>
      </c>
      <c r="M12" s="49" t="s">
        <v>1638</v>
      </c>
    </row>
    <row r="13" spans="1:13" ht="87" x14ac:dyDescent="0.35">
      <c r="A13" s="49" t="str">
        <f>IF(INDEX('01B_Findings_ID'!$G$5:$G$66,MATCH(B13,'01B_Findings_ID'!$A$5:$A$66,0))="Ya",IF(INDEX('01B_Findings_ID'!$F$5:$F$66,MATCH(B13,'01B_Findings_ID'!$A$5:$A$66,0))="Kritis","Sangat mendesak",IF(INDEX('01B_Findings_ID'!$F$5:$F$66,MATCH(B13,'01B_Findings_ID'!$A$5:$A$66,0))="Tinggi","Mendesak","Penting")),IF(INDEX('01B_Findings_ID'!$F$5:$F$66,MATCH(B13,'01B_Findings_ID'!$A$5:$A$66,0))="Kritis","Mendesak",IF(INDEX('01B_Findings_ID'!$F$5:$F$66,MATCH(B13,'01B_Findings_ID'!$A$5:$A$66,0))="Tinggi","Penting","Dapat dijadwalkan")))</f>
        <v>Sangat mendesak</v>
      </c>
      <c r="B13" s="48" t="str">
        <f>'01B_Findings_ID'!A8</f>
        <v>QC-004</v>
      </c>
      <c r="C13" s="49" t="str">
        <f>'01B_Findings_ID'!C8</f>
        <v>Treasury</v>
      </c>
      <c r="D13" s="49" t="str">
        <f>'01B_Findings_ID'!H8</f>
        <v>Aksi penundaan pembayaran menggerakkan headroom ke arah yang salah</v>
      </c>
      <c r="E13" s="49" t="str">
        <f>'01B_Findings_ID'!J8</f>
        <v>Headroom Minggu 5: -1.002,5 -&gt; +1.997,5 dan headroom Minggu 6: 1.012,5 -&gt; -1.987,5, sehingga trade-off-nya terlihat.</v>
      </c>
      <c r="F13" s="49" t="str">
        <f>'01B_Findings_ID'!L8</f>
        <v>Backend / logika agent</v>
      </c>
      <c r="G13" s="55" t="str">
        <f>'01B_Findings_ID'!M8</f>
        <v>2026-07-31</v>
      </c>
      <c r="H13" s="49" t="str">
        <f>IF(INDEX('01B_Findings_ID'!$N$5:$N$66,MATCH(B13,'01B_Findings_ID'!$A$5:$A$66,0))="Terbuka","Belum selesai",INDEX('01B_Findings_ID'!$N$5:$N$66,MATCH(B13,'01B_Findings_ID'!$A$5:$A$66,0)))</f>
        <v>Belum selesai</v>
      </c>
      <c r="I13" s="49" t="s">
        <v>1518</v>
      </c>
      <c r="J13" s="49" t="s">
        <v>1519</v>
      </c>
      <c r="K13" s="54" t="s">
        <v>1503</v>
      </c>
      <c r="L13" s="54" t="str">
        <f>IF(H13&lt;&gt;"Belum selesai","Sudah ditutup",IF(IFERROR(DATEVALUE(G13),G13)&lt;DATE(2026,7,30),"Lewat target",IF(IFERROR(DATEVALUE(G13),G13)=DATE(2026,7,30),"Jatuh tempo hari ini",IF(IFERROR(DATEVALUE(G13),G13)&lt;=DATE(2026,8,6),"Segera: maksimal 7 hari","Masih ada waktu"))))</f>
        <v>Segera: maksimal 7 hari</v>
      </c>
      <c r="M13" s="49" t="s">
        <v>1639</v>
      </c>
    </row>
    <row r="14" spans="1:13" ht="87" x14ac:dyDescent="0.35">
      <c r="A14" s="49" t="str">
        <f>IF(INDEX('01B_Findings_ID'!$G$5:$G$66,MATCH(B14,'01B_Findings_ID'!$A$5:$A$66,0))="Ya",IF(INDEX('01B_Findings_ID'!$F$5:$F$66,MATCH(B14,'01B_Findings_ID'!$A$5:$A$66,0))="Kritis","Sangat mendesak",IF(INDEX('01B_Findings_ID'!$F$5:$F$66,MATCH(B14,'01B_Findings_ID'!$A$5:$A$66,0))="Tinggi","Mendesak","Penting")),IF(INDEX('01B_Findings_ID'!$F$5:$F$66,MATCH(B14,'01B_Findings_ID'!$A$5:$A$66,0))="Kritis","Mendesak",IF(INDEX('01B_Findings_ID'!$F$5:$F$66,MATCH(B14,'01B_Findings_ID'!$A$5:$A$66,0))="Tinggi","Penting","Dapat dijadwalkan")))</f>
        <v>Sangat mendesak</v>
      </c>
      <c r="B14" s="48" t="str">
        <f>'01B_Findings_ID'!A9</f>
        <v>QC-005</v>
      </c>
      <c r="C14" s="49" t="str">
        <f>'01B_Findings_ID'!C9</f>
        <v>Treasury</v>
      </c>
      <c r="D14" s="49" t="str">
        <f>'01B_Findings_ID'!H9</f>
        <v>Aksi mencampur headroom dengan saldo kas dalam satu perbandingan</v>
      </c>
      <c r="E14" s="49" t="str">
        <f>'01B_Findings_ID'!J9</f>
        <v>Satu satuan untuk satu metrik. Pilih headroom -1.002,5 -&gt; +97,5, atau saldo kas 6.997,5 -&gt; 8.097,5.</v>
      </c>
      <c r="F14" s="49" t="str">
        <f>'01B_Findings_ID'!L9</f>
        <v>Backend / logika agent</v>
      </c>
      <c r="G14" s="55" t="str">
        <f>'01B_Findings_ID'!M9</f>
        <v>2026-07-31</v>
      </c>
      <c r="H14" s="49" t="str">
        <f>IF(INDEX('01B_Findings_ID'!$N$5:$N$66,MATCH(B14,'01B_Findings_ID'!$A$5:$A$66,0))="Terbuka","Belum selesai",INDEX('01B_Findings_ID'!$N$5:$N$66,MATCH(B14,'01B_Findings_ID'!$A$5:$A$66,0)))</f>
        <v>Belum selesai</v>
      </c>
      <c r="I14" s="49" t="s">
        <v>1520</v>
      </c>
      <c r="J14" s="49" t="s">
        <v>1521</v>
      </c>
      <c r="K14" s="54" t="s">
        <v>1503</v>
      </c>
      <c r="L14" s="54" t="str">
        <f>IF(H14&lt;&gt;"Belum selesai","Sudah ditutup",IF(IFERROR(DATEVALUE(G14),G14)&lt;DATE(2026,7,30),"Lewat target",IF(IFERROR(DATEVALUE(G14),G14)=DATE(2026,7,30),"Jatuh tempo hari ini",IF(IFERROR(DATEVALUE(G14),G14)&lt;=DATE(2026,8,6),"Segera: maksimal 7 hari","Masih ada waktu"))))</f>
        <v>Segera: maksimal 7 hari</v>
      </c>
      <c r="M14" s="49" t="s">
        <v>1639</v>
      </c>
    </row>
    <row r="15" spans="1:13" ht="101.5" x14ac:dyDescent="0.35">
      <c r="A15" s="49" t="str">
        <f>IF(INDEX('01B_Findings_ID'!$G$5:$G$66,MATCH(B15,'01B_Findings_ID'!$A$5:$A$66,0))="Ya",IF(INDEX('01B_Findings_ID'!$F$5:$F$66,MATCH(B15,'01B_Findings_ID'!$A$5:$A$66,0))="Kritis","Sangat mendesak",IF(INDEX('01B_Findings_ID'!$F$5:$F$66,MATCH(B15,'01B_Findings_ID'!$A$5:$A$66,0))="Tinggi","Mendesak","Penting")),IF(INDEX('01B_Findings_ID'!$F$5:$F$66,MATCH(B15,'01B_Findings_ID'!$A$5:$A$66,0))="Kritis","Mendesak",IF(INDEX('01B_Findings_ID'!$F$5:$F$66,MATCH(B15,'01B_Findings_ID'!$A$5:$A$66,0))="Tinggi","Penting","Dapat dijadwalkan")))</f>
        <v>Sangat mendesak</v>
      </c>
      <c r="B15" s="48" t="str">
        <f>'01B_Findings_ID'!A10</f>
        <v>QC-006</v>
      </c>
      <c r="C15" s="49" t="str">
        <f>'01B_Findings_ID'!C10</f>
        <v>Semua agent</v>
      </c>
      <c r="D15" s="49" t="str">
        <f>'01B_Findings_ID'!H10</f>
        <v>Riwayat percakapan penuh dengan pesan uji coba developer</v>
      </c>
      <c r="E15" s="49" t="str">
        <f>'01B_Findings_ID'!J10</f>
        <v>Riwayat yang sudah dikurasi, hanya berisi pertanyaan CFO yang kredibel, atau panel riwayat disembunyikan saat event.</v>
      </c>
      <c r="F15" s="49" t="str">
        <f>'01B_Findings_ID'!L10</f>
        <v>Pemilik demo</v>
      </c>
      <c r="G15" s="55" t="str">
        <f>'01B_Findings_ID'!M10</f>
        <v>2026-07-31</v>
      </c>
      <c r="H15" s="49" t="str">
        <f>IF(INDEX('01B_Findings_ID'!$N$5:$N$66,MATCH(B15,'01B_Findings_ID'!$A$5:$A$66,0))="Terbuka","Belum selesai",INDEX('01B_Findings_ID'!$N$5:$N$66,MATCH(B15,'01B_Findings_ID'!$A$5:$A$66,0)))</f>
        <v>Belum selesai</v>
      </c>
      <c r="I15" s="49" t="s">
        <v>1522</v>
      </c>
      <c r="J15" s="49" t="s">
        <v>1523</v>
      </c>
      <c r="K15" s="54" t="s">
        <v>1634</v>
      </c>
      <c r="L15" s="54" t="str">
        <f>IF(H15&lt;&gt;"Belum selesai","Sudah ditutup",IF(IFERROR(DATEVALUE(G15),G15)&lt;DATE(2026,7,30),"Lewat target",IF(IFERROR(DATEVALUE(G15),G15)=DATE(2026,7,30),"Jatuh tempo hari ini",IF(IFERROR(DATEVALUE(G15),G15)&lt;=DATE(2026,8,6),"Segera: maksimal 7 hari","Masih ada waktu"))))</f>
        <v>Segera: maksimal 7 hari</v>
      </c>
      <c r="M15" s="49" t="s">
        <v>1640</v>
      </c>
    </row>
    <row r="16" spans="1:13" ht="87" x14ac:dyDescent="0.35">
      <c r="A16" s="49" t="str">
        <f>IF(INDEX('01B_Findings_ID'!$G$5:$G$66,MATCH(B16,'01B_Findings_ID'!$A$5:$A$66,0))="Ya",IF(INDEX('01B_Findings_ID'!$F$5:$F$66,MATCH(B16,'01B_Findings_ID'!$A$5:$A$66,0))="Kritis","Sangat mendesak",IF(INDEX('01B_Findings_ID'!$F$5:$F$66,MATCH(B16,'01B_Findings_ID'!$A$5:$A$66,0))="Tinggi","Mendesak","Penting")),IF(INDEX('01B_Findings_ID'!$F$5:$F$66,MATCH(B16,'01B_Findings_ID'!$A$5:$A$66,0))="Kritis","Mendesak",IF(INDEX('01B_Findings_ID'!$F$5:$F$66,MATCH(B16,'01B_Findings_ID'!$A$5:$A$66,0))="Tinggi","Penting","Dapat dijadwalkan")))</f>
        <v>Sangat mendesak</v>
      </c>
      <c r="B16" s="48" t="str">
        <f>'01B_Findings_ID'!A53</f>
        <v>QC-049</v>
      </c>
      <c r="C16" s="49" t="str">
        <f>'01B_Findings_ID'!C53</f>
        <v>Semua agent</v>
      </c>
      <c r="D16" s="49" t="str">
        <f>'01B_Findings_ID'!H53</f>
        <v>Tidak ada panel penjelasan rumus di mana pun pada aplikasi &gt;&gt; Reasoning</v>
      </c>
      <c r="E16" s="49" t="str">
        <f>'01B_Findings_ID'!J53</f>
        <v>Setiap elemen di layar bisa menjelaskan angkanya sendiri saat diminta, lengkap dengan rumusnya.</v>
      </c>
      <c r="F16" s="49" t="str">
        <f>'01B_Findings_ID'!L53</f>
        <v>Backend + frontend</v>
      </c>
      <c r="G16" s="55" t="str">
        <f>'01B_Findings_ID'!M53</f>
        <v>2026-08-04</v>
      </c>
      <c r="H16" s="49" t="str">
        <f>IF(INDEX('01B_Findings_ID'!$N$5:$N$66,MATCH(B16,'01B_Findings_ID'!$A$5:$A$66,0))="Terbuka","Belum selesai",INDEX('01B_Findings_ID'!$N$5:$N$66,MATCH(B16,'01B_Findings_ID'!$A$5:$A$66,0)))</f>
        <v>Belum selesai</v>
      </c>
      <c r="I16" s="49" t="s">
        <v>1524</v>
      </c>
      <c r="J16" s="49" t="s">
        <v>1525</v>
      </c>
      <c r="K16" s="54" t="s">
        <v>1503</v>
      </c>
      <c r="L16" s="54" t="str">
        <f>IF(H16&lt;&gt;"Belum selesai","Sudah ditutup",IF(IFERROR(DATEVALUE(G16),G16)&lt;DATE(2026,7,30),"Lewat target",IF(IFERROR(DATEVALUE(G16),G16)=DATE(2026,7,30),"Jatuh tempo hari ini",IF(IFERROR(DATEVALUE(G16),G16)&lt;=DATE(2026,8,6),"Segera: maksimal 7 hari","Masih ada waktu"))))</f>
        <v>Segera: maksimal 7 hari</v>
      </c>
      <c r="M16" s="49" t="s">
        <v>1641</v>
      </c>
    </row>
    <row r="17" spans="1:13" ht="87" x14ac:dyDescent="0.35">
      <c r="A17" s="49" t="str">
        <f>IF(INDEX('01B_Findings_ID'!$G$5:$G$66,MATCH(B17,'01B_Findings_ID'!$A$5:$A$66,0))="Ya",IF(INDEX('01B_Findings_ID'!$F$5:$F$66,MATCH(B17,'01B_Findings_ID'!$A$5:$A$66,0))="Kritis","Sangat mendesak",IF(INDEX('01B_Findings_ID'!$F$5:$F$66,MATCH(B17,'01B_Findings_ID'!$A$5:$A$66,0))="Tinggi","Mendesak","Penting")),IF(INDEX('01B_Findings_ID'!$F$5:$F$66,MATCH(B17,'01B_Findings_ID'!$A$5:$A$66,0))="Kritis","Mendesak",IF(INDEX('01B_Findings_ID'!$F$5:$F$66,MATCH(B17,'01B_Findings_ID'!$A$5:$A$66,0))="Tinggi","Penting","Dapat dijadwalkan")))</f>
        <v>Mendesak</v>
      </c>
      <c r="B17" s="48" t="str">
        <f>'01B_Findings_ID'!A11</f>
        <v>QC-007</v>
      </c>
      <c r="C17" s="49" t="str">
        <f>'01B_Findings_ID'!C11</f>
        <v>Collection</v>
      </c>
      <c r="D17" s="49" t="str">
        <f>'01B_Findings_ID'!H11</f>
        <v>KPI high-risk dan grafik risk tier tidak sama di layar yang sama</v>
      </c>
      <c r="E17" s="49" t="str">
        <f>'01B_Findings_ID'!J11</f>
        <v>Ganti nama KPI menjadi 'High-risk provision', atau tampilkan 5.000 agar sama dengan grafik.</v>
      </c>
      <c r="F17" s="49" t="str">
        <f>'01B_Findings_ID'!L11</f>
        <v>Backend / logika agent</v>
      </c>
      <c r="G17" s="55" t="str">
        <f>'01B_Findings_ID'!M11</f>
        <v>2026-08-04</v>
      </c>
      <c r="H17" s="49" t="str">
        <f>IF(INDEX('01B_Findings_ID'!$N$5:$N$66,MATCH(B17,'01B_Findings_ID'!$A$5:$A$66,0))="Terbuka","Belum selesai",INDEX('01B_Findings_ID'!$N$5:$N$66,MATCH(B17,'01B_Findings_ID'!$A$5:$A$66,0)))</f>
        <v>Belum selesai</v>
      </c>
      <c r="I17" s="49" t="s">
        <v>1526</v>
      </c>
      <c r="J17" s="49" t="s">
        <v>1527</v>
      </c>
      <c r="K17" s="54" t="s">
        <v>1503</v>
      </c>
      <c r="L17" s="54" t="str">
        <f>IF(H17&lt;&gt;"Belum selesai","Sudah ditutup",IF(IFERROR(DATEVALUE(G17),G17)&lt;DATE(2026,7,30),"Lewat target",IF(IFERROR(DATEVALUE(G17),G17)=DATE(2026,7,30),"Jatuh tempo hari ini",IF(IFERROR(DATEVALUE(G17),G17)&lt;=DATE(2026,8,6),"Segera: maksimal 7 hari","Masih ada waktu"))))</f>
        <v>Segera: maksimal 7 hari</v>
      </c>
      <c r="M17" s="49" t="s">
        <v>1642</v>
      </c>
    </row>
    <row r="18" spans="1:13" ht="58" x14ac:dyDescent="0.35">
      <c r="A18" s="49" t="str">
        <f>IF(INDEX('01B_Findings_ID'!$G$5:$G$66,MATCH(B18,'01B_Findings_ID'!$A$5:$A$66,0))="Ya",IF(INDEX('01B_Findings_ID'!$F$5:$F$66,MATCH(B18,'01B_Findings_ID'!$A$5:$A$66,0))="Kritis","Sangat mendesak",IF(INDEX('01B_Findings_ID'!$F$5:$F$66,MATCH(B18,'01B_Findings_ID'!$A$5:$A$66,0))="Tinggi","Mendesak","Penting")),IF(INDEX('01B_Findings_ID'!$F$5:$F$66,MATCH(B18,'01B_Findings_ID'!$A$5:$A$66,0))="Kritis","Mendesak",IF(INDEX('01B_Findings_ID'!$F$5:$F$66,MATCH(B18,'01B_Findings_ID'!$A$5:$A$66,0))="Tinggi","Penting","Dapat dijadwalkan")))</f>
        <v>Mendesak</v>
      </c>
      <c r="B18" s="48" t="str">
        <f>'01B_Findings_ID'!A12</f>
        <v>QC-008</v>
      </c>
      <c r="C18" s="49" t="str">
        <f>'01B_Findings_ID'!C12</f>
        <v>Collection</v>
      </c>
      <c r="D18" s="49" t="str">
        <f>'01B_Findings_ID'!H12</f>
        <v>Definisi 'Top 5' berbeda tiga kali di dalam satu agent</v>
      </c>
      <c r="E18" s="49" t="str">
        <f>'01B_Findings_ID'!J12</f>
        <v>Satu definisi saja, dan ditulis di layar.</v>
      </c>
      <c r="F18" s="49" t="str">
        <f>'01B_Findings_ID'!L12</f>
        <v>Backend / logika agent</v>
      </c>
      <c r="G18" s="55" t="str">
        <f>'01B_Findings_ID'!M12</f>
        <v>2026-08-04</v>
      </c>
      <c r="H18" s="49" t="str">
        <f>IF(INDEX('01B_Findings_ID'!$N$5:$N$66,MATCH(B18,'01B_Findings_ID'!$A$5:$A$66,0))="Terbuka","Belum selesai",INDEX('01B_Findings_ID'!$N$5:$N$66,MATCH(B18,'01B_Findings_ID'!$A$5:$A$66,0)))</f>
        <v>Belum selesai</v>
      </c>
      <c r="I18" s="49" t="s">
        <v>1528</v>
      </c>
      <c r="J18" s="49" t="s">
        <v>1529</v>
      </c>
      <c r="K18" s="54" t="s">
        <v>1503</v>
      </c>
      <c r="L18" s="54" t="str">
        <f>IF(H18&lt;&gt;"Belum selesai","Sudah ditutup",IF(IFERROR(DATEVALUE(G18),G18)&lt;DATE(2026,7,30),"Lewat target",IF(IFERROR(DATEVALUE(G18),G18)=DATE(2026,7,30),"Jatuh tempo hari ini",IF(IFERROR(DATEVALUE(G18),G18)&lt;=DATE(2026,8,6),"Segera: maksimal 7 hari","Masih ada waktu"))))</f>
        <v>Segera: maksimal 7 hari</v>
      </c>
      <c r="M18" s="49" t="s">
        <v>1643</v>
      </c>
    </row>
    <row r="19" spans="1:13" ht="72.5" x14ac:dyDescent="0.35">
      <c r="A19" s="49" t="str">
        <f>IF(INDEX('01B_Findings_ID'!$G$5:$G$66,MATCH(B19,'01B_Findings_ID'!$A$5:$A$66,0))="Ya",IF(INDEX('01B_Findings_ID'!$F$5:$F$66,MATCH(B19,'01B_Findings_ID'!$A$5:$A$66,0))="Kritis","Sangat mendesak",IF(INDEX('01B_Findings_ID'!$F$5:$F$66,MATCH(B19,'01B_Findings_ID'!$A$5:$A$66,0))="Tinggi","Mendesak","Penting")),IF(INDEX('01B_Findings_ID'!$F$5:$F$66,MATCH(B19,'01B_Findings_ID'!$A$5:$A$66,0))="Kritis","Mendesak",IF(INDEX('01B_Findings_ID'!$F$5:$F$66,MATCH(B19,'01B_Findings_ID'!$A$5:$A$66,0))="Tinggi","Penting","Dapat dijadwalkan")))</f>
        <v>Mendesak</v>
      </c>
      <c r="B19" s="48" t="str">
        <f>'01B_Findings_ID'!A13</f>
        <v>QC-009</v>
      </c>
      <c r="C19" s="49" t="str">
        <f>'01B_Findings_ID'!C13</f>
        <v>Finance</v>
      </c>
      <c r="D19" s="49" t="str">
        <f>'01B_Findings_ID'!H13</f>
        <v>Ada dua target margin EBITDA yang dipakai bersamaan</v>
      </c>
      <c r="E19" s="49" t="str">
        <f>'01B_Findings_ID'!J13</f>
        <v>Satu target saja. Kalau acuannya anggaran, pakai 15,7% di semua tempat.</v>
      </c>
      <c r="F19" s="49" t="str">
        <f>'01B_Findings_ID'!L13</f>
        <v>Backend / logika agent</v>
      </c>
      <c r="G19" s="55" t="str">
        <f>'01B_Findings_ID'!M13</f>
        <v>2026-08-04</v>
      </c>
      <c r="H19" s="49" t="str">
        <f>IF(INDEX('01B_Findings_ID'!$N$5:$N$66,MATCH(B19,'01B_Findings_ID'!$A$5:$A$66,0))="Terbuka","Belum selesai",INDEX('01B_Findings_ID'!$N$5:$N$66,MATCH(B19,'01B_Findings_ID'!$A$5:$A$66,0)))</f>
        <v>Belum selesai</v>
      </c>
      <c r="I19" s="49" t="s">
        <v>1530</v>
      </c>
      <c r="J19" s="49" t="s">
        <v>1531</v>
      </c>
      <c r="K19" s="54" t="s">
        <v>1503</v>
      </c>
      <c r="L19" s="54" t="str">
        <f>IF(H19&lt;&gt;"Belum selesai","Sudah ditutup",IF(IFERROR(DATEVALUE(G19),G19)&lt;DATE(2026,7,30),"Lewat target",IF(IFERROR(DATEVALUE(G19),G19)=DATE(2026,7,30),"Jatuh tempo hari ini",IF(IFERROR(DATEVALUE(G19),G19)&lt;=DATE(2026,8,6),"Segera: maksimal 7 hari","Masih ada waktu"))))</f>
        <v>Segera: maksimal 7 hari</v>
      </c>
      <c r="M19" s="49" t="s">
        <v>1644</v>
      </c>
    </row>
    <row r="20" spans="1:13" ht="87" x14ac:dyDescent="0.35">
      <c r="A20" s="49" t="str">
        <f>IF(INDEX('01B_Findings_ID'!$G$5:$G$66,MATCH(B20,'01B_Findings_ID'!$A$5:$A$66,0))="Ya",IF(INDEX('01B_Findings_ID'!$F$5:$F$66,MATCH(B20,'01B_Findings_ID'!$A$5:$A$66,0))="Kritis","Sangat mendesak",IF(INDEX('01B_Findings_ID'!$F$5:$F$66,MATCH(B20,'01B_Findings_ID'!$A$5:$A$66,0))="Tinggi","Mendesak","Penting")),IF(INDEX('01B_Findings_ID'!$F$5:$F$66,MATCH(B20,'01B_Findings_ID'!$A$5:$A$66,0))="Kritis","Mendesak",IF(INDEX('01B_Findings_ID'!$F$5:$F$66,MATCH(B20,'01B_Findings_ID'!$A$5:$A$66,0))="Tinggi","Penting","Dapat dijadwalkan")))</f>
        <v>Mendesak</v>
      </c>
      <c r="B20" s="48" t="str">
        <f>'01B_Findings_ID'!A14</f>
        <v>QC-010</v>
      </c>
      <c r="C20" s="49" t="str">
        <f>'01B_Findings_ID'!C14</f>
        <v>Finance</v>
      </c>
      <c r="D20" s="49" t="str">
        <f>'01B_Findings_ID'!H14</f>
        <v>Varians harga sekitar sepuluh kali lebih kecil dari penurunan harga yang diklaim</v>
      </c>
      <c r="E20" s="49" t="str">
        <f>'01B_Findings_ID'!J14</f>
        <v>Langkah harga di waterfall dan persentase penurunan di alert harus berasal dari perhitungan yang sama.</v>
      </c>
      <c r="F20" s="49" t="str">
        <f>'01B_Findings_ID'!L14</f>
        <v>Backend / logika agent</v>
      </c>
      <c r="G20" s="55" t="str">
        <f>'01B_Findings_ID'!M14</f>
        <v>2026-08-04</v>
      </c>
      <c r="H20" s="49" t="str">
        <f>IF(INDEX('01B_Findings_ID'!$N$5:$N$66,MATCH(B20,'01B_Findings_ID'!$A$5:$A$66,0))="Terbuka","Belum selesai",INDEX('01B_Findings_ID'!$N$5:$N$66,MATCH(B20,'01B_Findings_ID'!$A$5:$A$66,0)))</f>
        <v>Belum selesai</v>
      </c>
      <c r="I20" s="49" t="s">
        <v>1532</v>
      </c>
      <c r="J20" s="49" t="s">
        <v>1533</v>
      </c>
      <c r="K20" s="54" t="s">
        <v>1503</v>
      </c>
      <c r="L20" s="54" t="str">
        <f>IF(H20&lt;&gt;"Belum selesai","Sudah ditutup",IF(IFERROR(DATEVALUE(G20),G20)&lt;DATE(2026,7,30),"Lewat target",IF(IFERROR(DATEVALUE(G20),G20)=DATE(2026,7,30),"Jatuh tempo hari ini",IF(IFERROR(DATEVALUE(G20),G20)&lt;=DATE(2026,8,6),"Segera: maksimal 7 hari","Masih ada waktu"))))</f>
        <v>Segera: maksimal 7 hari</v>
      </c>
      <c r="M20" s="49" t="s">
        <v>1645</v>
      </c>
    </row>
    <row r="21" spans="1:13" ht="72.5" x14ac:dyDescent="0.35">
      <c r="A21" s="49" t="str">
        <f>IF(INDEX('01B_Findings_ID'!$G$5:$G$66,MATCH(B21,'01B_Findings_ID'!$A$5:$A$66,0))="Ya",IF(INDEX('01B_Findings_ID'!$F$5:$F$66,MATCH(B21,'01B_Findings_ID'!$A$5:$A$66,0))="Kritis","Sangat mendesak",IF(INDEX('01B_Findings_ID'!$F$5:$F$66,MATCH(B21,'01B_Findings_ID'!$A$5:$A$66,0))="Tinggi","Mendesak","Penting")),IF(INDEX('01B_Findings_ID'!$F$5:$F$66,MATCH(B21,'01B_Findings_ID'!$A$5:$A$66,0))="Kritis","Mendesak",IF(INDEX('01B_Findings_ID'!$F$5:$F$66,MATCH(B21,'01B_Findings_ID'!$A$5:$A$66,0))="Tinggi","Penting","Dapat dijadwalkan")))</f>
        <v>Mendesak</v>
      </c>
      <c r="B21" s="48" t="str">
        <f>'01B_Findings_ID'!A15</f>
        <v>QC-011</v>
      </c>
      <c r="C21" s="49" t="str">
        <f>'01B_Findings_ID'!C15</f>
        <v>Finance</v>
      </c>
      <c r="D21" s="49" t="str">
        <f>'01B_Findings_ID'!H15</f>
        <v>Varians COGS disebut dengan dua angka berbeda</v>
      </c>
      <c r="E21" s="49" t="str">
        <f>'01B_Findings_ID'!J15</f>
        <v>Satu angka varians biaya di seluruh waterfall, alert, dan action card.</v>
      </c>
      <c r="F21" s="49" t="str">
        <f>'01B_Findings_ID'!L15</f>
        <v>Backend / logika agent</v>
      </c>
      <c r="G21" s="55" t="str">
        <f>'01B_Findings_ID'!M15</f>
        <v>2026-08-04</v>
      </c>
      <c r="H21" s="49" t="str">
        <f>IF(INDEX('01B_Findings_ID'!$N$5:$N$66,MATCH(B21,'01B_Findings_ID'!$A$5:$A$66,0))="Terbuka","Belum selesai",INDEX('01B_Findings_ID'!$N$5:$N$66,MATCH(B21,'01B_Findings_ID'!$A$5:$A$66,0)))</f>
        <v>Belum selesai</v>
      </c>
      <c r="I21" s="49" t="s">
        <v>1534</v>
      </c>
      <c r="J21" s="49" t="s">
        <v>1535</v>
      </c>
      <c r="K21" s="54" t="s">
        <v>1503</v>
      </c>
      <c r="L21" s="54" t="str">
        <f>IF(H21&lt;&gt;"Belum selesai","Sudah ditutup",IF(IFERROR(DATEVALUE(G21),G21)&lt;DATE(2026,7,30),"Lewat target",IF(IFERROR(DATEVALUE(G21),G21)=DATE(2026,7,30),"Jatuh tempo hari ini",IF(IFERROR(DATEVALUE(G21),G21)&lt;=DATE(2026,8,6),"Segera: maksimal 7 hari","Masih ada waktu"))))</f>
        <v>Segera: maksimal 7 hari</v>
      </c>
      <c r="M21" s="49" t="s">
        <v>1646</v>
      </c>
    </row>
    <row r="22" spans="1:13" ht="87" x14ac:dyDescent="0.35">
      <c r="A22" s="49" t="str">
        <f>IF(INDEX('01B_Findings_ID'!$G$5:$G$66,MATCH(B22,'01B_Findings_ID'!$A$5:$A$66,0))="Ya",IF(INDEX('01B_Findings_ID'!$F$5:$F$66,MATCH(B22,'01B_Findings_ID'!$A$5:$A$66,0))="Kritis","Sangat mendesak",IF(INDEX('01B_Findings_ID'!$F$5:$F$66,MATCH(B22,'01B_Findings_ID'!$A$5:$A$66,0))="Tinggi","Mendesak","Penting")),IF(INDEX('01B_Findings_ID'!$F$5:$F$66,MATCH(B22,'01B_Findings_ID'!$A$5:$A$66,0))="Kritis","Mendesak",IF(INDEX('01B_Findings_ID'!$F$5:$F$66,MATCH(B22,'01B_Findings_ID'!$A$5:$A$66,0))="Tinggi","Penting","Dapat dijadwalkan")))</f>
        <v>Mendesak</v>
      </c>
      <c r="B22" s="48" t="str">
        <f>'01B_Findings_ID'!A18</f>
        <v>QC-014</v>
      </c>
      <c r="C22" s="49" t="str">
        <f>'01B_Findings_ID'!C18</f>
        <v>Leakage</v>
      </c>
      <c r="D22" s="49" t="str">
        <f>'01B_Findings_ID'!H18</f>
        <v>Jumlah flag di KPI tidak cocok dengan tabelnya</v>
      </c>
      <c r="E22" s="49" t="str">
        <f>'01B_Findings_ID'!J18</f>
        <v>Angka pada KPI harus sama dengan jumlah baris yang benar-benar bisa dibuka pengguna.</v>
      </c>
      <c r="F22" s="49" t="str">
        <f>'01B_Findings_ID'!L18</f>
        <v>Backend / logika agent</v>
      </c>
      <c r="G22" s="55" t="str">
        <f>'01B_Findings_ID'!M18</f>
        <v>2026-08-04</v>
      </c>
      <c r="H22" s="49" t="str">
        <f>IF(INDEX('01B_Findings_ID'!$N$5:$N$66,MATCH(B22,'01B_Findings_ID'!$A$5:$A$66,0))="Terbuka","Belum selesai",INDEX('01B_Findings_ID'!$N$5:$N$66,MATCH(B22,'01B_Findings_ID'!$A$5:$A$66,0)))</f>
        <v>Belum selesai</v>
      </c>
      <c r="I22" s="49" t="s">
        <v>1536</v>
      </c>
      <c r="J22" s="49" t="s">
        <v>1537</v>
      </c>
      <c r="K22" s="54" t="s">
        <v>1503</v>
      </c>
      <c r="L22" s="54" t="str">
        <f>IF(H22&lt;&gt;"Belum selesai","Sudah ditutup",IF(IFERROR(DATEVALUE(G22),G22)&lt;DATE(2026,7,30),"Lewat target",IF(IFERROR(DATEVALUE(G22),G22)=DATE(2026,7,30),"Jatuh tempo hari ini",IF(IFERROR(DATEVALUE(G22),G22)&lt;=DATE(2026,8,6),"Segera: maksimal 7 hari","Masih ada waktu"))))</f>
        <v>Segera: maksimal 7 hari</v>
      </c>
      <c r="M22" s="49" t="s">
        <v>1647</v>
      </c>
    </row>
    <row r="23" spans="1:13" ht="87" x14ac:dyDescent="0.35">
      <c r="A23" s="49" t="str">
        <f>IF(INDEX('01B_Findings_ID'!$G$5:$G$66,MATCH(B23,'01B_Findings_ID'!$A$5:$A$66,0))="Ya",IF(INDEX('01B_Findings_ID'!$F$5:$F$66,MATCH(B23,'01B_Findings_ID'!$A$5:$A$66,0))="Kritis","Sangat mendesak",IF(INDEX('01B_Findings_ID'!$F$5:$F$66,MATCH(B23,'01B_Findings_ID'!$A$5:$A$66,0))="Tinggi","Mendesak","Penting")),IF(INDEX('01B_Findings_ID'!$F$5:$F$66,MATCH(B23,'01B_Findings_ID'!$A$5:$A$66,0))="Kritis","Mendesak",IF(INDEX('01B_Findings_ID'!$F$5:$F$66,MATCH(B23,'01B_Findings_ID'!$A$5:$A$66,0))="Tinggi","Penting","Dapat dijadwalkan")))</f>
        <v>Mendesak</v>
      </c>
      <c r="B23" s="48" t="str">
        <f>'01B_Findings_ID'!A19</f>
        <v>QC-015</v>
      </c>
      <c r="C23" s="49" t="str">
        <f>'01B_Findings_ID'!C19</f>
        <v>Leakage</v>
      </c>
      <c r="D23" s="49" t="str">
        <f>'01B_Findings_ID'!H19</f>
        <v>Eksposur split invoice muncul di grafik tetapi di luar total</v>
      </c>
      <c r="E23" s="49" t="str">
        <f>'01B_Findings_ID'!J19</f>
        <v>Pilih: at risk menjadi 9.795, atau split invoice dikeluarkan dari grafik dan dijelaskan.</v>
      </c>
      <c r="F23" s="49" t="str">
        <f>'01B_Findings_ID'!L19</f>
        <v>Backend / logika agent</v>
      </c>
      <c r="G23" s="55" t="str">
        <f>'01B_Findings_ID'!M19</f>
        <v>2026-08-04</v>
      </c>
      <c r="H23" s="49" t="str">
        <f>IF(INDEX('01B_Findings_ID'!$N$5:$N$66,MATCH(B23,'01B_Findings_ID'!$A$5:$A$66,0))="Terbuka","Belum selesai",INDEX('01B_Findings_ID'!$N$5:$N$66,MATCH(B23,'01B_Findings_ID'!$A$5:$A$66,0)))</f>
        <v>Belum selesai</v>
      </c>
      <c r="I23" s="49" t="s">
        <v>1538</v>
      </c>
      <c r="J23" s="49" t="s">
        <v>1539</v>
      </c>
      <c r="K23" s="54" t="s">
        <v>1503</v>
      </c>
      <c r="L23" s="54" t="str">
        <f>IF(H23&lt;&gt;"Belum selesai","Sudah ditutup",IF(IFERROR(DATEVALUE(G23),G23)&lt;DATE(2026,7,30),"Lewat target",IF(IFERROR(DATEVALUE(G23),G23)=DATE(2026,7,30),"Jatuh tempo hari ini",IF(IFERROR(DATEVALUE(G23),G23)&lt;=DATE(2026,8,6),"Segera: maksimal 7 hari","Masih ada waktu"))))</f>
        <v>Segera: maksimal 7 hari</v>
      </c>
      <c r="M23" s="49" t="s">
        <v>1648</v>
      </c>
    </row>
    <row r="24" spans="1:13" ht="72.5" x14ac:dyDescent="0.35">
      <c r="A24" s="49" t="str">
        <f>IF(INDEX('01B_Findings_ID'!$G$5:$G$66,MATCH(B24,'01B_Findings_ID'!$A$5:$A$66,0))="Ya",IF(INDEX('01B_Findings_ID'!$F$5:$F$66,MATCH(B24,'01B_Findings_ID'!$A$5:$A$66,0))="Kritis","Sangat mendesak",IF(INDEX('01B_Findings_ID'!$F$5:$F$66,MATCH(B24,'01B_Findings_ID'!$A$5:$A$66,0))="Tinggi","Mendesak","Penting")),IF(INDEX('01B_Findings_ID'!$F$5:$F$66,MATCH(B24,'01B_Findings_ID'!$A$5:$A$66,0))="Kritis","Mendesak",IF(INDEX('01B_Findings_ID'!$F$5:$F$66,MATCH(B24,'01B_Findings_ID'!$A$5:$A$66,0))="Tinggi","Penting","Dapat dijadwalkan")))</f>
        <v>Mendesak</v>
      </c>
      <c r="B24" s="48" t="str">
        <f>'01B_Findings_ID'!A20</f>
        <v>QC-016</v>
      </c>
      <c r="C24" s="49" t="str">
        <f>'01B_Findings_ID'!C20</f>
        <v>Collection</v>
      </c>
      <c r="D24" s="49" t="str">
        <f>'01B_Findings_ID'!H20</f>
        <v>Dampak aksi tidak cocok dengan rekomendasinya sendiri</v>
      </c>
      <c r="E24" s="49" t="str">
        <f>'01B_Findings_ID'!J20</f>
        <v>Dampak dihitung ulang dari nilai yang ada di spec.</v>
      </c>
      <c r="F24" s="49" t="str">
        <f>'01B_Findings_ID'!L20</f>
        <v>Backend / logika agent</v>
      </c>
      <c r="G24" s="55" t="str">
        <f>'01B_Findings_ID'!M20</f>
        <v>2026-08-04</v>
      </c>
      <c r="H24" s="49" t="str">
        <f>IF(INDEX('01B_Findings_ID'!$N$5:$N$66,MATCH(B24,'01B_Findings_ID'!$A$5:$A$66,0))="Terbuka","Belum selesai",INDEX('01B_Findings_ID'!$N$5:$N$66,MATCH(B24,'01B_Findings_ID'!$A$5:$A$66,0)))</f>
        <v>Belum selesai</v>
      </c>
      <c r="I24" s="49" t="s">
        <v>1540</v>
      </c>
      <c r="J24" s="49" t="s">
        <v>1541</v>
      </c>
      <c r="K24" s="54" t="s">
        <v>1503</v>
      </c>
      <c r="L24" s="54" t="str">
        <f>IF(H24&lt;&gt;"Belum selesai","Sudah ditutup",IF(IFERROR(DATEVALUE(G24),G24)&lt;DATE(2026,7,30),"Lewat target",IF(IFERROR(DATEVALUE(G24),G24)=DATE(2026,7,30),"Jatuh tempo hari ini",IF(IFERROR(DATEVALUE(G24),G24)&lt;=DATE(2026,8,6),"Segera: maksimal 7 hari","Masih ada waktu"))))</f>
        <v>Segera: maksimal 7 hari</v>
      </c>
      <c r="M24" s="49" t="s">
        <v>1649</v>
      </c>
    </row>
    <row r="25" spans="1:13" ht="72.5" x14ac:dyDescent="0.35">
      <c r="A25" s="49" t="str">
        <f>IF(INDEX('01B_Findings_ID'!$G$5:$G$66,MATCH(B25,'01B_Findings_ID'!$A$5:$A$66,0))="Ya",IF(INDEX('01B_Findings_ID'!$F$5:$F$66,MATCH(B25,'01B_Findings_ID'!$A$5:$A$66,0))="Kritis","Sangat mendesak",IF(INDEX('01B_Findings_ID'!$F$5:$F$66,MATCH(B25,'01B_Findings_ID'!$A$5:$A$66,0))="Tinggi","Mendesak","Penting")),IF(INDEX('01B_Findings_ID'!$F$5:$F$66,MATCH(B25,'01B_Findings_ID'!$A$5:$A$66,0))="Kritis","Mendesak",IF(INDEX('01B_Findings_ID'!$F$5:$F$66,MATCH(B25,'01B_Findings_ID'!$A$5:$A$66,0))="Tinggi","Penting","Dapat dijadwalkan")))</f>
        <v>Mendesak</v>
      </c>
      <c r="B25" s="48" t="str">
        <f>'01B_Findings_ID'!A21</f>
        <v>QC-017</v>
      </c>
      <c r="C25" s="49" t="str">
        <f>'01B_Findings_ID'!C21</f>
        <v>Treasury</v>
      </c>
      <c r="D25" s="49" t="str">
        <f>'01B_Findings_ID'!H21</f>
        <v>Aksi gabungan hanya menampilkan sebagian dampaknya sendiri</v>
      </c>
      <c r="E25" s="49" t="str">
        <f>'01B_Findings_ID'!J21</f>
        <v>-1.002,5 -&gt; +3.997,5.</v>
      </c>
      <c r="F25" s="49" t="str">
        <f>'01B_Findings_ID'!L21</f>
        <v>Backend / logika agent</v>
      </c>
      <c r="G25" s="55" t="str">
        <f>'01B_Findings_ID'!M21</f>
        <v>2026-08-04</v>
      </c>
      <c r="H25" s="49" t="str">
        <f>IF(INDEX('01B_Findings_ID'!$N$5:$N$66,MATCH(B25,'01B_Findings_ID'!$A$5:$A$66,0))="Terbuka","Belum selesai",INDEX('01B_Findings_ID'!$N$5:$N$66,MATCH(B25,'01B_Findings_ID'!$A$5:$A$66,0)))</f>
        <v>Belum selesai</v>
      </c>
      <c r="I25" s="49" t="s">
        <v>1542</v>
      </c>
      <c r="J25" s="49" t="s">
        <v>1543</v>
      </c>
      <c r="K25" s="54" t="s">
        <v>1503</v>
      </c>
      <c r="L25" s="54" t="str">
        <f>IF(H25&lt;&gt;"Belum selesai","Sudah ditutup",IF(IFERROR(DATEVALUE(G25),G25)&lt;DATE(2026,7,30),"Lewat target",IF(IFERROR(DATEVALUE(G25),G25)=DATE(2026,7,30),"Jatuh tempo hari ini",IF(IFERROR(DATEVALUE(G25),G25)&lt;=DATE(2026,8,6),"Segera: maksimal 7 hari","Masih ada waktu"))))</f>
        <v>Segera: maksimal 7 hari</v>
      </c>
      <c r="M25" s="49" t="s">
        <v>1649</v>
      </c>
    </row>
    <row r="26" spans="1:13" ht="72.5" x14ac:dyDescent="0.35">
      <c r="A26" s="49" t="str">
        <f>IF(INDEX('01B_Findings_ID'!$G$5:$G$66,MATCH(B26,'01B_Findings_ID'!$A$5:$A$66,0))="Ya",IF(INDEX('01B_Findings_ID'!$F$5:$F$66,MATCH(B26,'01B_Findings_ID'!$A$5:$A$66,0))="Kritis","Sangat mendesak",IF(INDEX('01B_Findings_ID'!$F$5:$F$66,MATCH(B26,'01B_Findings_ID'!$A$5:$A$66,0))="Tinggi","Mendesak","Penting")),IF(INDEX('01B_Findings_ID'!$F$5:$F$66,MATCH(B26,'01B_Findings_ID'!$A$5:$A$66,0))="Kritis","Mendesak",IF(INDEX('01B_Findings_ID'!$F$5:$F$66,MATCH(B26,'01B_Findings_ID'!$A$5:$A$66,0))="Tinggi","Penting","Dapat dijadwalkan")))</f>
        <v>Mendesak</v>
      </c>
      <c r="B26" s="48" t="str">
        <f>'01B_Findings_ID'!A23</f>
        <v>QC-019</v>
      </c>
      <c r="C26" s="49" t="str">
        <f>'01B_Findings_ID'!C23</f>
        <v>Treasury</v>
      </c>
      <c r="D26" s="49" t="str">
        <f>'01B_Findings_ID'!H23</f>
        <v>Aksi credit line berpatokan pada minggu yang salah</v>
      </c>
      <c r="E26" s="49" t="str">
        <f>'01B_Findings_ID'!J23</f>
        <v>Baseline -1.002,5 (Minggu 5), hasil +1.997,5 setelah penarikan 3.000 mn.</v>
      </c>
      <c r="F26" s="49" t="str">
        <f>'01B_Findings_ID'!L23</f>
        <v>Backend / logika agent</v>
      </c>
      <c r="G26" s="55" t="str">
        <f>'01B_Findings_ID'!M23</f>
        <v>2026-08-04</v>
      </c>
      <c r="H26" s="49" t="str">
        <f>IF(INDEX('01B_Findings_ID'!$N$5:$N$66,MATCH(B26,'01B_Findings_ID'!$A$5:$A$66,0))="Terbuka","Belum selesai",INDEX('01B_Findings_ID'!$N$5:$N$66,MATCH(B26,'01B_Findings_ID'!$A$5:$A$66,0)))</f>
        <v>Belum selesai</v>
      </c>
      <c r="I26" s="49" t="s">
        <v>1544</v>
      </c>
      <c r="J26" s="49" t="s">
        <v>1545</v>
      </c>
      <c r="K26" s="54" t="s">
        <v>1503</v>
      </c>
      <c r="L26" s="54" t="str">
        <f>IF(H26&lt;&gt;"Belum selesai","Sudah ditutup",IF(IFERROR(DATEVALUE(G26),G26)&lt;DATE(2026,7,30),"Lewat target",IF(IFERROR(DATEVALUE(G26),G26)=DATE(2026,7,30),"Jatuh tempo hari ini",IF(IFERROR(DATEVALUE(G26),G26)&lt;=DATE(2026,8,6),"Segera: maksimal 7 hari","Masih ada waktu"))))</f>
        <v>Segera: maksimal 7 hari</v>
      </c>
      <c r="M26" s="49" t="s">
        <v>1639</v>
      </c>
    </row>
    <row r="27" spans="1:13" ht="72.5" x14ac:dyDescent="0.35">
      <c r="A27" s="49" t="str">
        <f>IF(INDEX('01B_Findings_ID'!$G$5:$G$66,MATCH(B27,'01B_Findings_ID'!$A$5:$A$66,0))="Ya",IF(INDEX('01B_Findings_ID'!$F$5:$F$66,MATCH(B27,'01B_Findings_ID'!$A$5:$A$66,0))="Kritis","Sangat mendesak",IF(INDEX('01B_Findings_ID'!$F$5:$F$66,MATCH(B27,'01B_Findings_ID'!$A$5:$A$66,0))="Tinggi","Mendesak","Penting")),IF(INDEX('01B_Findings_ID'!$F$5:$F$66,MATCH(B27,'01B_Findings_ID'!$A$5:$A$66,0))="Kritis","Mendesak",IF(INDEX('01B_Findings_ID'!$F$5:$F$66,MATCH(B27,'01B_Findings_ID'!$A$5:$A$66,0))="Tinggi","Penting","Dapat dijadwalkan")))</f>
        <v>Mendesak</v>
      </c>
      <c r="B27" s="48" t="str">
        <f>'01B_Findings_ID'!A24</f>
        <v>QC-020</v>
      </c>
      <c r="C27" s="49" t="str">
        <f>'01B_Findings_ID'!C24</f>
        <v>Semua agent</v>
      </c>
      <c r="D27" s="49" t="str">
        <f>'01B_Findings_ID'!H24</f>
        <v>Kunci nama agent tidak konsisten antar endpoint</v>
      </c>
      <c r="E27" s="49" t="str">
        <f>'01B_Findings_ID'!J24</f>
        <v>Satu kunci kanonik per agent di semua endpoint.</v>
      </c>
      <c r="F27" s="49" t="str">
        <f>'01B_Findings_ID'!L24</f>
        <v>Backend</v>
      </c>
      <c r="G27" s="55" t="str">
        <f>'01B_Findings_ID'!M24</f>
        <v>2026-08-04</v>
      </c>
      <c r="H27" s="49" t="str">
        <f>IF(INDEX('01B_Findings_ID'!$N$5:$N$66,MATCH(B27,'01B_Findings_ID'!$A$5:$A$66,0))="Terbuka","Belum selesai",INDEX('01B_Findings_ID'!$N$5:$N$66,MATCH(B27,'01B_Findings_ID'!$A$5:$A$66,0)))</f>
        <v>Belum selesai</v>
      </c>
      <c r="I27" s="49" t="s">
        <v>1546</v>
      </c>
      <c r="J27" s="49" t="s">
        <v>1547</v>
      </c>
      <c r="K27" s="54" t="s">
        <v>1503</v>
      </c>
      <c r="L27" s="54" t="str">
        <f>IF(H27&lt;&gt;"Belum selesai","Sudah ditutup",IF(IFERROR(DATEVALUE(G27),G27)&lt;DATE(2026,7,30),"Lewat target",IF(IFERROR(DATEVALUE(G27),G27)=DATE(2026,7,30),"Jatuh tempo hari ini",IF(IFERROR(DATEVALUE(G27),G27)&lt;=DATE(2026,8,6),"Segera: maksimal 7 hari","Masih ada waktu"))))</f>
        <v>Segera: maksimal 7 hari</v>
      </c>
      <c r="M27" s="49" t="s">
        <v>1650</v>
      </c>
    </row>
    <row r="28" spans="1:13" ht="72.5" x14ac:dyDescent="0.35">
      <c r="A28" s="49" t="str">
        <f>IF(INDEX('01B_Findings_ID'!$G$5:$G$66,MATCH(B28,'01B_Findings_ID'!$A$5:$A$66,0))="Ya",IF(INDEX('01B_Findings_ID'!$F$5:$F$66,MATCH(B28,'01B_Findings_ID'!$A$5:$A$66,0))="Kritis","Sangat mendesak",IF(INDEX('01B_Findings_ID'!$F$5:$F$66,MATCH(B28,'01B_Findings_ID'!$A$5:$A$66,0))="Tinggi","Mendesak","Penting")),IF(INDEX('01B_Findings_ID'!$F$5:$F$66,MATCH(B28,'01B_Findings_ID'!$A$5:$A$66,0))="Kritis","Mendesak",IF(INDEX('01B_Findings_ID'!$F$5:$F$66,MATCH(B28,'01B_Findings_ID'!$A$5:$A$66,0))="Tinggi","Penting","Dapat dijadwalkan")))</f>
        <v>Mendesak</v>
      </c>
      <c r="B28" s="48" t="str">
        <f>'01B_Findings_ID'!A25</f>
        <v>QC-021</v>
      </c>
      <c r="C28" s="49" t="str">
        <f>'01B_Findings_ID'!C25</f>
        <v>Semua agent</v>
      </c>
      <c r="D28" s="49" t="str">
        <f>'01B_Findings_ID'!H25</f>
        <v>47 action card dengan duplikasi berat</v>
      </c>
      <c r="E28" s="49" t="str">
        <f>'01B_Findings_ID'!J25</f>
        <v>Rapikan menjadi sekitar tiga sampai lima aksi berbeda per agent untuk demo.</v>
      </c>
      <c r="F28" s="49" t="str">
        <f>'01B_Findings_ID'!L25</f>
        <v>Backend / logika agent</v>
      </c>
      <c r="G28" s="55" t="str">
        <f>'01B_Findings_ID'!M25</f>
        <v>2026-08-04</v>
      </c>
      <c r="H28" s="49" t="str">
        <f>IF(INDEX('01B_Findings_ID'!$N$5:$N$66,MATCH(B28,'01B_Findings_ID'!$A$5:$A$66,0))="Terbuka","Belum selesai",INDEX('01B_Findings_ID'!$N$5:$N$66,MATCH(B28,'01B_Findings_ID'!$A$5:$A$66,0)))</f>
        <v>Belum selesai</v>
      </c>
      <c r="I28" s="49" t="s">
        <v>1548</v>
      </c>
      <c r="J28" s="49" t="s">
        <v>1549</v>
      </c>
      <c r="K28" s="54" t="s">
        <v>1503</v>
      </c>
      <c r="L28" s="54" t="str">
        <f>IF(H28&lt;&gt;"Belum selesai","Sudah ditutup",IF(IFERROR(DATEVALUE(G28),G28)&lt;DATE(2026,7,30),"Lewat target",IF(IFERROR(DATEVALUE(G28),G28)=DATE(2026,7,30),"Jatuh tempo hari ini",IF(IFERROR(DATEVALUE(G28),G28)&lt;=DATE(2026,8,6),"Segera: maksimal 7 hari","Masih ada waktu"))))</f>
        <v>Segera: maksimal 7 hari</v>
      </c>
      <c r="M28" s="49" t="s">
        <v>1651</v>
      </c>
    </row>
    <row r="29" spans="1:13" ht="87" x14ac:dyDescent="0.35">
      <c r="A29" s="49" t="str">
        <f>IF(INDEX('01B_Findings_ID'!$G$5:$G$66,MATCH(B29,'01B_Findings_ID'!$A$5:$A$66,0))="Ya",IF(INDEX('01B_Findings_ID'!$F$5:$F$66,MATCH(B29,'01B_Findings_ID'!$A$5:$A$66,0))="Kritis","Sangat mendesak",IF(INDEX('01B_Findings_ID'!$F$5:$F$66,MATCH(B29,'01B_Findings_ID'!$A$5:$A$66,0))="Tinggi","Mendesak","Penting")),IF(INDEX('01B_Findings_ID'!$F$5:$F$66,MATCH(B29,'01B_Findings_ID'!$A$5:$A$66,0))="Kritis","Mendesak",IF(INDEX('01B_Findings_ID'!$F$5:$F$66,MATCH(B29,'01B_Findings_ID'!$A$5:$A$66,0))="Tinggi","Penting","Dapat dijadwalkan")))</f>
        <v>Mendesak</v>
      </c>
      <c r="B29" s="48" t="str">
        <f>'01B_Findings_ID'!A26</f>
        <v>QC-022</v>
      </c>
      <c r="C29" s="49" t="str">
        <f>'01B_Findings_ID'!C26</f>
        <v>Semua agent</v>
      </c>
      <c r="D29" s="49" t="str">
        <f>'01B_Findings_ID'!H26</f>
        <v>Dampak aksi bertumpuk tanpa pengaman double counting</v>
      </c>
      <c r="E29" s="49" t="str">
        <f>'01B_Findings_ID'!J26</f>
        <v>Tampilan portofolio yang menetkan aksi yang tumpang tindih dan menampilkan satu dampak gabungan.</v>
      </c>
      <c r="F29" s="49" t="str">
        <f>'01B_Findings_ID'!L26</f>
        <v>Backend / logika agent</v>
      </c>
      <c r="G29" s="55" t="str">
        <f>'01B_Findings_ID'!M26</f>
        <v>2026-08-04</v>
      </c>
      <c r="H29" s="49" t="str">
        <f>IF(INDEX('01B_Findings_ID'!$N$5:$N$66,MATCH(B29,'01B_Findings_ID'!$A$5:$A$66,0))="Terbuka","Belum selesai",INDEX('01B_Findings_ID'!$N$5:$N$66,MATCH(B29,'01B_Findings_ID'!$A$5:$A$66,0)))</f>
        <v>Belum selesai</v>
      </c>
      <c r="I29" s="49" t="s">
        <v>1550</v>
      </c>
      <c r="J29" s="49" t="s">
        <v>1551</v>
      </c>
      <c r="K29" s="54" t="s">
        <v>1503</v>
      </c>
      <c r="L29" s="54" t="str">
        <f>IF(H29&lt;&gt;"Belum selesai","Sudah ditutup",IF(IFERROR(DATEVALUE(G29),G29)&lt;DATE(2026,7,30),"Lewat target",IF(IFERROR(DATEVALUE(G29),G29)=DATE(2026,7,30),"Jatuh tempo hari ini",IF(IFERROR(DATEVALUE(G29),G29)&lt;=DATE(2026,8,6),"Segera: maksimal 7 hari","Masih ada waktu"))))</f>
        <v>Segera: maksimal 7 hari</v>
      </c>
      <c r="M29" s="49" t="s">
        <v>1652</v>
      </c>
    </row>
    <row r="30" spans="1:13" ht="58" x14ac:dyDescent="0.35">
      <c r="A30" s="49" t="str">
        <f>IF(INDEX('01B_Findings_ID'!$G$5:$G$66,MATCH(B30,'01B_Findings_ID'!$A$5:$A$66,0))="Ya",IF(INDEX('01B_Findings_ID'!$F$5:$F$66,MATCH(B30,'01B_Findings_ID'!$A$5:$A$66,0))="Kritis","Sangat mendesak",IF(INDEX('01B_Findings_ID'!$F$5:$F$66,MATCH(B30,'01B_Findings_ID'!$A$5:$A$66,0))="Tinggi","Mendesak","Penting")),IF(INDEX('01B_Findings_ID'!$F$5:$F$66,MATCH(B30,'01B_Findings_ID'!$A$5:$A$66,0))="Kritis","Mendesak",IF(INDEX('01B_Findings_ID'!$F$5:$F$66,MATCH(B30,'01B_Findings_ID'!$A$5:$A$66,0))="Tinggi","Penting","Dapat dijadwalkan")))</f>
        <v>Mendesak</v>
      </c>
      <c r="B30" s="48" t="str">
        <f>'01B_Findings_ID'!A28</f>
        <v>QC-024</v>
      </c>
      <c r="C30" s="49" t="str">
        <f>'01B_Findings_ID'!C28</f>
        <v>Leakage</v>
      </c>
      <c r="D30" s="49" t="str">
        <f>'01B_Findings_ID'!H28</f>
        <v>Agent Leakage terbuka pada grafik kosong</v>
      </c>
      <c r="E30" s="49" t="str">
        <f>'01B_Findings_ID'!J28</f>
        <v>Buka pada tampilan yang berisi data.</v>
      </c>
      <c r="F30" s="49" t="str">
        <f>'01B_Findings_ID'!L28</f>
        <v>Backend / data</v>
      </c>
      <c r="G30" s="55" t="str">
        <f>'01B_Findings_ID'!M28</f>
        <v>2026-08-04</v>
      </c>
      <c r="H30" s="49" t="str">
        <f>IF(INDEX('01B_Findings_ID'!$N$5:$N$66,MATCH(B30,'01B_Findings_ID'!$A$5:$A$66,0))="Terbuka","Belum selesai",INDEX('01B_Findings_ID'!$N$5:$N$66,MATCH(B30,'01B_Findings_ID'!$A$5:$A$66,0)))</f>
        <v>Belum selesai</v>
      </c>
      <c r="I30" s="49" t="s">
        <v>1552</v>
      </c>
      <c r="J30" s="49" t="s">
        <v>1553</v>
      </c>
      <c r="K30" s="54" t="s">
        <v>1503</v>
      </c>
      <c r="L30" s="54" t="str">
        <f>IF(H30&lt;&gt;"Belum selesai","Sudah ditutup",IF(IFERROR(DATEVALUE(G30),G30)&lt;DATE(2026,7,30),"Lewat target",IF(IFERROR(DATEVALUE(G30),G30)=DATE(2026,7,30),"Jatuh tempo hari ini",IF(IFERROR(DATEVALUE(G30),G30)&lt;=DATE(2026,8,6),"Segera: maksimal 7 hari","Masih ada waktu"))))</f>
        <v>Segera: maksimal 7 hari</v>
      </c>
      <c r="M30" s="49" t="s">
        <v>1642</v>
      </c>
    </row>
    <row r="31" spans="1:13" ht="101.5" x14ac:dyDescent="0.35">
      <c r="A31" s="49" t="str">
        <f>IF(INDEX('01B_Findings_ID'!$G$5:$G$66,MATCH(B31,'01B_Findings_ID'!$A$5:$A$66,0))="Ya",IF(INDEX('01B_Findings_ID'!$F$5:$F$66,MATCH(B31,'01B_Findings_ID'!$A$5:$A$66,0))="Kritis","Sangat mendesak",IF(INDEX('01B_Findings_ID'!$F$5:$F$66,MATCH(B31,'01B_Findings_ID'!$A$5:$A$66,0))="Tinggi","Mendesak","Penting")),IF(INDEX('01B_Findings_ID'!$F$5:$F$66,MATCH(B31,'01B_Findings_ID'!$A$5:$A$66,0))="Kritis","Mendesak",IF(INDEX('01B_Findings_ID'!$F$5:$F$66,MATCH(B31,'01B_Findings_ID'!$A$5:$A$66,0))="Tinggi","Penting","Dapat dijadwalkan")))</f>
        <v>Mendesak</v>
      </c>
      <c r="B31" s="48" t="str">
        <f>'01B_Findings_ID'!A47</f>
        <v>QC-043</v>
      </c>
      <c r="C31" s="49" t="str">
        <f>'01B_Findings_ID'!C47</f>
        <v>Semua agent</v>
      </c>
      <c r="D31" s="49" t="str">
        <f>'01B_Findings_ID'!H47</f>
        <v>Aplikasi sama sekali tidak punya filter</v>
      </c>
      <c r="E31" s="49" t="str">
        <f>'01B_Findings_ID'!J47</f>
        <v>Minimal: legal entity, periode, basis pembanding, toko, kategori, pelanggan, risk tier, bucket umur piutang, vendor, jenis kebocoran, minggu, dan jenis komitmen.</v>
      </c>
      <c r="F31" s="49" t="str">
        <f>'01B_Findings_ID'!L47</f>
        <v>Backend + frontend</v>
      </c>
      <c r="G31" s="55" t="str">
        <f>'01B_Findings_ID'!M47</f>
        <v>2026-08-04</v>
      </c>
      <c r="H31" s="49" t="str">
        <f>IF(INDEX('01B_Findings_ID'!$N$5:$N$66,MATCH(B31,'01B_Findings_ID'!$A$5:$A$66,0))="Terbuka","Belum selesai",INDEX('01B_Findings_ID'!$N$5:$N$66,MATCH(B31,'01B_Findings_ID'!$A$5:$A$66,0)))</f>
        <v>Belum selesai</v>
      </c>
      <c r="I31" s="49" t="s">
        <v>1554</v>
      </c>
      <c r="J31" s="49" t="s">
        <v>1555</v>
      </c>
      <c r="K31" s="54" t="s">
        <v>1503</v>
      </c>
      <c r="L31" s="54" t="str">
        <f>IF(H31&lt;&gt;"Belum selesai","Sudah ditutup",IF(IFERROR(DATEVALUE(G31),G31)&lt;DATE(2026,7,30),"Lewat target",IF(IFERROR(DATEVALUE(G31),G31)=DATE(2026,7,30),"Jatuh tempo hari ini",IF(IFERROR(DATEVALUE(G31),G31)&lt;=DATE(2026,8,6),"Segera: maksimal 7 hari","Masih ada waktu"))))</f>
        <v>Segera: maksimal 7 hari</v>
      </c>
      <c r="M31" s="49" t="s">
        <v>1653</v>
      </c>
    </row>
    <row r="32" spans="1:13" ht="87" x14ac:dyDescent="0.35">
      <c r="A32" s="49" t="str">
        <f>IF(INDEX('01B_Findings_ID'!$G$5:$G$66,MATCH(B32,'01B_Findings_ID'!$A$5:$A$66,0))="Ya",IF(INDEX('01B_Findings_ID'!$F$5:$F$66,MATCH(B32,'01B_Findings_ID'!$A$5:$A$66,0))="Kritis","Sangat mendesak",IF(INDEX('01B_Findings_ID'!$F$5:$F$66,MATCH(B32,'01B_Findings_ID'!$A$5:$A$66,0))="Tinggi","Mendesak","Penting")),IF(INDEX('01B_Findings_ID'!$F$5:$F$66,MATCH(B32,'01B_Findings_ID'!$A$5:$A$66,0))="Kritis","Mendesak",IF(INDEX('01B_Findings_ID'!$F$5:$F$66,MATCH(B32,'01B_Findings_ID'!$A$5:$A$66,0))="Tinggi","Penting","Dapat dijadwalkan")))</f>
        <v>Mendesak</v>
      </c>
      <c r="B32" s="48" t="str">
        <f>'01B_Findings_ID'!A48</f>
        <v>QC-044</v>
      </c>
      <c r="C32" s="49" t="str">
        <f>'01B_Findings_ID'!C48</f>
        <v>Semua agent</v>
      </c>
      <c r="D32" s="49" t="str">
        <f>'01B_Findings_ID'!H48</f>
        <v>Volume data jauh di bawah permintaan klien</v>
      </c>
      <c r="E32" s="49" t="str">
        <f>'01B_Findings_ID'!J48</f>
        <v>Minimal 3 legal entity, 20 toko, 100 item, kategori yang lengkap, dan data bulanan sampai Sep 2026.</v>
      </c>
      <c r="F32" s="49" t="str">
        <f>'01B_Findings_ID'!L48</f>
        <v>Backend / data</v>
      </c>
      <c r="G32" s="55" t="str">
        <f>'01B_Findings_ID'!M48</f>
        <v>2026-08-04</v>
      </c>
      <c r="H32" s="49" t="str">
        <f>IF(INDEX('01B_Findings_ID'!$N$5:$N$66,MATCH(B32,'01B_Findings_ID'!$A$5:$A$66,0))="Terbuka","Belum selesai",INDEX('01B_Findings_ID'!$N$5:$N$66,MATCH(B32,'01B_Findings_ID'!$A$5:$A$66,0)))</f>
        <v>Belum selesai</v>
      </c>
      <c r="I32" s="49" t="s">
        <v>1556</v>
      </c>
      <c r="J32" s="49" t="s">
        <v>1557</v>
      </c>
      <c r="K32" s="54" t="s">
        <v>1503</v>
      </c>
      <c r="L32" s="54" t="str">
        <f>IF(H32&lt;&gt;"Belum selesai","Sudah ditutup",IF(IFERROR(DATEVALUE(G32),G32)&lt;DATE(2026,7,30),"Lewat target",IF(IFERROR(DATEVALUE(G32),G32)=DATE(2026,7,30),"Jatuh tempo hari ini",IF(IFERROR(DATEVALUE(G32),G32)&lt;=DATE(2026,8,6),"Segera: maksimal 7 hari","Masih ada waktu"))))</f>
        <v>Segera: maksimal 7 hari</v>
      </c>
      <c r="M32" s="49" t="s">
        <v>1654</v>
      </c>
    </row>
    <row r="33" spans="1:13" ht="72.5" x14ac:dyDescent="0.35">
      <c r="A33" s="49" t="str">
        <f>IF(INDEX('01B_Findings_ID'!$G$5:$G$66,MATCH(B33,'01B_Findings_ID'!$A$5:$A$66,0))="Ya",IF(INDEX('01B_Findings_ID'!$F$5:$F$66,MATCH(B33,'01B_Findings_ID'!$A$5:$A$66,0))="Kritis","Sangat mendesak",IF(INDEX('01B_Findings_ID'!$F$5:$F$66,MATCH(B33,'01B_Findings_ID'!$A$5:$A$66,0))="Tinggi","Mendesak","Penting")),IF(INDEX('01B_Findings_ID'!$F$5:$F$66,MATCH(B33,'01B_Findings_ID'!$A$5:$A$66,0))="Kritis","Mendesak",IF(INDEX('01B_Findings_ID'!$F$5:$F$66,MATCH(B33,'01B_Findings_ID'!$A$5:$A$66,0))="Tinggi","Penting","Dapat dijadwalkan")))</f>
        <v>Mendesak</v>
      </c>
      <c r="B33" s="48" t="str">
        <f>'01B_Findings_ID'!A49</f>
        <v>QC-045</v>
      </c>
      <c r="C33" s="49" t="str">
        <f>'01B_Findings_ID'!C49</f>
        <v>Semua agent</v>
      </c>
      <c r="D33" s="49" t="str">
        <f>'01B_Findings_ID'!H49</f>
        <v>Perilaku interaktif tidak bisa diverifikasi dari luar</v>
      </c>
      <c r="E33" s="49" t="str">
        <f>'01B_Findings_ID'!J49</f>
        <v>Jalankan sheet 02 secara manual pada aplikasi live dan catat hasilnya.</v>
      </c>
      <c r="F33" s="49" t="str">
        <f>'01B_Findings_ID'!L49</f>
        <v>Pemilik demo</v>
      </c>
      <c r="G33" s="55" t="str">
        <f>'01B_Findings_ID'!M49</f>
        <v>2026-08-04</v>
      </c>
      <c r="H33" s="49" t="str">
        <f>IF(INDEX('01B_Findings_ID'!$N$5:$N$66,MATCH(B33,'01B_Findings_ID'!$A$5:$A$66,0))="Terbuka","Belum selesai",INDEX('01B_Findings_ID'!$N$5:$N$66,MATCH(B33,'01B_Findings_ID'!$A$5:$A$66,0)))</f>
        <v>Belum selesai</v>
      </c>
      <c r="I33" s="49" t="s">
        <v>1558</v>
      </c>
      <c r="J33" s="49" t="s">
        <v>1559</v>
      </c>
      <c r="K33" s="54" t="s">
        <v>1503</v>
      </c>
      <c r="L33" s="54" t="str">
        <f>IF(H33&lt;&gt;"Belum selesai","Sudah ditutup",IF(IFERROR(DATEVALUE(G33),G33)&lt;DATE(2026,7,30),"Lewat target",IF(IFERROR(DATEVALUE(G33),G33)=DATE(2026,7,30),"Jatuh tempo hari ini",IF(IFERROR(DATEVALUE(G33),G33)&lt;=DATE(2026,8,6),"Segera: maksimal 7 hari","Masih ada waktu"))))</f>
        <v>Segera: maksimal 7 hari</v>
      </c>
      <c r="M33" s="49" t="s">
        <v>1655</v>
      </c>
    </row>
    <row r="34" spans="1:13" ht="101.5" x14ac:dyDescent="0.35">
      <c r="A34" s="49" t="str">
        <f>IF(INDEX('01B_Findings_ID'!$G$5:$G$66,MATCH(B34,'01B_Findings_ID'!$A$5:$A$66,0))="Ya",IF(INDEX('01B_Findings_ID'!$F$5:$F$66,MATCH(B34,'01B_Findings_ID'!$A$5:$A$66,0))="Kritis","Sangat mendesak",IF(INDEX('01B_Findings_ID'!$F$5:$F$66,MATCH(B34,'01B_Findings_ID'!$A$5:$A$66,0))="Tinggi","Mendesak","Penting")),IF(INDEX('01B_Findings_ID'!$F$5:$F$66,MATCH(B34,'01B_Findings_ID'!$A$5:$A$66,0))="Kritis","Mendesak",IF(INDEX('01B_Findings_ID'!$F$5:$F$66,MATCH(B34,'01B_Findings_ID'!$A$5:$A$66,0))="Tinggi","Penting","Dapat dijadwalkan")))</f>
        <v>Mendesak</v>
      </c>
      <c r="B34" s="48" t="str">
        <f>'01B_Findings_ID'!A51</f>
        <v>QC-047</v>
      </c>
      <c r="C34" s="49" t="str">
        <f>'01B_Findings_ID'!C51</f>
        <v>Collection + Treasury</v>
      </c>
      <c r="D34" s="49" t="str">
        <f>'01B_Findings_ID'!H51</f>
        <v>Tuas penagihan Treasury tidak terhubung ke buku Collection</v>
      </c>
      <c r="E34" s="49" t="str">
        <f>'01B_Findings_ID'!J51</f>
        <v>Batas maksimum tuas Treasury seharusnya diturunkan dari worklist Collection, dan menarik kas di Treasury seharusnya mengurangi piutang di Collection.</v>
      </c>
      <c r="F34" s="49" t="str">
        <f>'01B_Findings_ID'!L51</f>
        <v>Backend / logika agent</v>
      </c>
      <c r="G34" s="55" t="str">
        <f>'01B_Findings_ID'!M51</f>
        <v>2026-08-04</v>
      </c>
      <c r="H34" s="49" t="str">
        <f>IF(INDEX('01B_Findings_ID'!$N$5:$N$66,MATCH(B34,'01B_Findings_ID'!$A$5:$A$66,0))="Terbuka","Belum selesai",INDEX('01B_Findings_ID'!$N$5:$N$66,MATCH(B34,'01B_Findings_ID'!$A$5:$A$66,0)))</f>
        <v>Belum selesai</v>
      </c>
      <c r="I34" s="49" t="s">
        <v>1560</v>
      </c>
      <c r="J34" s="49" t="s">
        <v>1561</v>
      </c>
      <c r="K34" s="54" t="s">
        <v>1503</v>
      </c>
      <c r="L34" s="54" t="str">
        <f>IF(H34&lt;&gt;"Belum selesai","Sudah ditutup",IF(IFERROR(DATEVALUE(G34),G34)&lt;DATE(2026,7,30),"Lewat target",IF(IFERROR(DATEVALUE(G34),G34)=DATE(2026,7,30),"Jatuh tempo hari ini",IF(IFERROR(DATEVALUE(G34),G34)&lt;=DATE(2026,8,6),"Segera: maksimal 7 hari","Masih ada waktu"))))</f>
        <v>Segera: maksimal 7 hari</v>
      </c>
      <c r="M34" s="49" t="s">
        <v>1656</v>
      </c>
    </row>
    <row r="35" spans="1:13" ht="87" x14ac:dyDescent="0.35">
      <c r="A35" s="49" t="str">
        <f>IF(INDEX('01B_Findings_ID'!$G$5:$G$66,MATCH(B35,'01B_Findings_ID'!$A$5:$A$66,0))="Ya",IF(INDEX('01B_Findings_ID'!$F$5:$F$66,MATCH(B35,'01B_Findings_ID'!$A$5:$A$66,0))="Kritis","Sangat mendesak",IF(INDEX('01B_Findings_ID'!$F$5:$F$66,MATCH(B35,'01B_Findings_ID'!$A$5:$A$66,0))="Tinggi","Mendesak","Penting")),IF(INDEX('01B_Findings_ID'!$F$5:$F$66,MATCH(B35,'01B_Findings_ID'!$A$5:$A$66,0))="Kritis","Mendesak",IF(INDEX('01B_Findings_ID'!$F$5:$F$66,MATCH(B35,'01B_Findings_ID'!$A$5:$A$66,0))="Tinggi","Penting","Dapat dijadwalkan")))</f>
        <v>Mendesak</v>
      </c>
      <c r="B35" s="48" t="str">
        <f>'01B_Findings_ID'!A55</f>
        <v>QC-051</v>
      </c>
      <c r="C35" s="49" t="str">
        <f>'01B_Findings_ID'!C55</f>
        <v>Semua agent</v>
      </c>
      <c r="D35" s="49" t="str">
        <f>'01B_Findings_ID'!H55</f>
        <v>Simulator tidak bisa menyimpan, memuat, atau membandingkan skenario</v>
      </c>
      <c r="E35" s="49" t="str">
        <f>'01B_Findings_ID'!J55</f>
        <v>Minimal bisa menyimpan satu skenario dan membandingkannya berdampingan dengan baseline.</v>
      </c>
      <c r="F35" s="49" t="str">
        <f>'01B_Findings_ID'!L55</f>
        <v>Backend + frontend</v>
      </c>
      <c r="G35" s="55" t="str">
        <f>'01B_Findings_ID'!M55</f>
        <v>2026-08-08</v>
      </c>
      <c r="H35" s="49" t="str">
        <f>IF(INDEX('01B_Findings_ID'!$N$5:$N$66,MATCH(B35,'01B_Findings_ID'!$A$5:$A$66,0))="Terbuka","Belum selesai",INDEX('01B_Findings_ID'!$N$5:$N$66,MATCH(B35,'01B_Findings_ID'!$A$5:$A$66,0)))</f>
        <v>Belum selesai</v>
      </c>
      <c r="I35" s="49" t="s">
        <v>1562</v>
      </c>
      <c r="J35" s="49" t="s">
        <v>1563</v>
      </c>
      <c r="K35" s="54" t="s">
        <v>1503</v>
      </c>
      <c r="L35" s="54" t="str">
        <f>IF(H35&lt;&gt;"Belum selesai","Sudah ditutup",IF(IFERROR(DATEVALUE(G35),G35)&lt;DATE(2026,7,30),"Lewat target",IF(IFERROR(DATEVALUE(G35),G35)=DATE(2026,7,30),"Jatuh tempo hari ini",IF(IFERROR(DATEVALUE(G35),G35)&lt;=DATE(2026,8,6),"Segera: maksimal 7 hari","Masih ada waktu"))))</f>
        <v>Masih ada waktu</v>
      </c>
      <c r="M35" s="49" t="s">
        <v>1657</v>
      </c>
    </row>
    <row r="36" spans="1:13" ht="87" x14ac:dyDescent="0.35">
      <c r="A36" s="49" t="str">
        <f>IF(INDEX('01B_Findings_ID'!$G$5:$G$66,MATCH(B36,'01B_Findings_ID'!$A$5:$A$66,0))="Ya",IF(INDEX('01B_Findings_ID'!$F$5:$F$66,MATCH(B36,'01B_Findings_ID'!$A$5:$A$66,0))="Kritis","Sangat mendesak",IF(INDEX('01B_Findings_ID'!$F$5:$F$66,MATCH(B36,'01B_Findings_ID'!$A$5:$A$66,0))="Tinggi","Mendesak","Penting")),IF(INDEX('01B_Findings_ID'!$F$5:$F$66,MATCH(B36,'01B_Findings_ID'!$A$5:$A$66,0))="Kritis","Mendesak",IF(INDEX('01B_Findings_ID'!$F$5:$F$66,MATCH(B36,'01B_Findings_ID'!$A$5:$A$66,0))="Tinggi","Penting","Dapat dijadwalkan")))</f>
        <v>Mendesak</v>
      </c>
      <c r="B36" s="48" t="str">
        <f>'01B_Findings_ID'!A56</f>
        <v>QC-052</v>
      </c>
      <c r="C36" s="49" t="str">
        <f>'01B_Findings_ID'!C56</f>
        <v>Semua agent</v>
      </c>
      <c r="D36" s="49" t="str">
        <f>'01B_Findings_ID'!H56</f>
        <v>Simulator tidak punya preset</v>
      </c>
      <c r="E36" s="49" t="str">
        <f>'01B_Findings_ID'!J56</f>
        <v>Tiga sampai empat preset bernama per agent, supaya presenter tidak perlu menggeser slider dengan presisi di depan kamera.</v>
      </c>
      <c r="F36" s="49" t="str">
        <f>'01B_Findings_ID'!L56</f>
        <v>Backend + frontend</v>
      </c>
      <c r="G36" s="55" t="str">
        <f>'01B_Findings_ID'!M56</f>
        <v>2026-08-08</v>
      </c>
      <c r="H36" s="49" t="str">
        <f>IF(INDEX('01B_Findings_ID'!$N$5:$N$66,MATCH(B36,'01B_Findings_ID'!$A$5:$A$66,0))="Terbuka","Belum selesai",INDEX('01B_Findings_ID'!$N$5:$N$66,MATCH(B36,'01B_Findings_ID'!$A$5:$A$66,0)))</f>
        <v>Belum selesai</v>
      </c>
      <c r="I36" s="49" t="s">
        <v>1564</v>
      </c>
      <c r="J36" s="49" t="s">
        <v>1565</v>
      </c>
      <c r="K36" s="54" t="s">
        <v>1503</v>
      </c>
      <c r="L36" s="54" t="str">
        <f>IF(H36&lt;&gt;"Belum selesai","Sudah ditutup",IF(IFERROR(DATEVALUE(G36),G36)&lt;DATE(2026,7,30),"Lewat target",IF(IFERROR(DATEVALUE(G36),G36)=DATE(2026,7,30),"Jatuh tempo hari ini",IF(IFERROR(DATEVALUE(G36),G36)&lt;=DATE(2026,8,6),"Segera: maksimal 7 hari","Masih ada waktu"))))</f>
        <v>Masih ada waktu</v>
      </c>
      <c r="M36" s="49" t="s">
        <v>1658</v>
      </c>
    </row>
    <row r="37" spans="1:13" ht="87" x14ac:dyDescent="0.35">
      <c r="A37" s="49" t="str">
        <f>IF(INDEX('01B_Findings_ID'!$G$5:$G$66,MATCH(B37,'01B_Findings_ID'!$A$5:$A$66,0))="Ya",IF(INDEX('01B_Findings_ID'!$F$5:$F$66,MATCH(B37,'01B_Findings_ID'!$A$5:$A$66,0))="Kritis","Sangat mendesak",IF(INDEX('01B_Findings_ID'!$F$5:$F$66,MATCH(B37,'01B_Findings_ID'!$A$5:$A$66,0))="Tinggi","Mendesak","Penting")),IF(INDEX('01B_Findings_ID'!$F$5:$F$66,MATCH(B37,'01B_Findings_ID'!$A$5:$A$66,0))="Kritis","Mendesak",IF(INDEX('01B_Findings_ID'!$F$5:$F$66,MATCH(B37,'01B_Findings_ID'!$A$5:$A$66,0))="Tinggi","Penting","Dapat dijadwalkan")))</f>
        <v>Mendesak</v>
      </c>
      <c r="B37" s="48" t="str">
        <f>'01B_Findings_ID'!A58</f>
        <v>QC-054</v>
      </c>
      <c r="C37" s="49" t="str">
        <f>'01B_Findings_ID'!C58</f>
        <v>Semua agent</v>
      </c>
      <c r="D37" s="49" t="str">
        <f>'01B_Findings_ID'!H58</f>
        <v>KPI tile tidak punya sparkline tren</v>
      </c>
      <c r="E37" s="49" t="str">
        <f>'01B_Findings_ID'!J58</f>
        <v>Ada deret tren pendek di setiap KPI, supaya CFO melihat arahnya tanpa membuka grafik.</v>
      </c>
      <c r="F37" s="49" t="str">
        <f>'01B_Findings_ID'!L58</f>
        <v>Backend + frontend</v>
      </c>
      <c r="G37" s="55" t="str">
        <f>'01B_Findings_ID'!M58</f>
        <v>2026-08-08</v>
      </c>
      <c r="H37" s="49" t="str">
        <f>IF(INDEX('01B_Findings_ID'!$N$5:$N$66,MATCH(B37,'01B_Findings_ID'!$A$5:$A$66,0))="Terbuka","Belum selesai",INDEX('01B_Findings_ID'!$N$5:$N$66,MATCH(B37,'01B_Findings_ID'!$A$5:$A$66,0)))</f>
        <v>Belum selesai</v>
      </c>
      <c r="I37" s="49" t="s">
        <v>1566</v>
      </c>
      <c r="J37" s="49" t="s">
        <v>1567</v>
      </c>
      <c r="K37" s="54" t="s">
        <v>1503</v>
      </c>
      <c r="L37" s="54" t="str">
        <f>IF(H37&lt;&gt;"Belum selesai","Sudah ditutup",IF(IFERROR(DATEVALUE(G37),G37)&lt;DATE(2026,7,30),"Lewat target",IF(IFERROR(DATEVALUE(G37),G37)=DATE(2026,7,30),"Jatuh tempo hari ini",IF(IFERROR(DATEVALUE(G37),G37)&lt;=DATE(2026,8,6),"Segera: maksimal 7 hari","Masih ada waktu"))))</f>
        <v>Masih ada waktu</v>
      </c>
      <c r="M37" s="49" t="s">
        <v>1659</v>
      </c>
    </row>
    <row r="38" spans="1:13" ht="101.5" x14ac:dyDescent="0.35">
      <c r="A38" s="49" t="str">
        <f>IF(INDEX('01B_Findings_ID'!$G$5:$G$66,MATCH(B38,'01B_Findings_ID'!$A$5:$A$66,0))="Ya",IF(INDEX('01B_Findings_ID'!$F$5:$F$66,MATCH(B38,'01B_Findings_ID'!$A$5:$A$66,0))="Kritis","Sangat mendesak",IF(INDEX('01B_Findings_ID'!$F$5:$F$66,MATCH(B38,'01B_Findings_ID'!$A$5:$A$66,0))="Tinggi","Mendesak","Penting")),IF(INDEX('01B_Findings_ID'!$F$5:$F$66,MATCH(B38,'01B_Findings_ID'!$A$5:$A$66,0))="Kritis","Mendesak",IF(INDEX('01B_Findings_ID'!$F$5:$F$66,MATCH(B38,'01B_Findings_ID'!$A$5:$A$66,0))="Tinggi","Penting","Dapat dijadwalkan")))</f>
        <v>Mendesak</v>
      </c>
      <c r="B38" s="48" t="str">
        <f>'01B_Findings_ID'!A59</f>
        <v>QC-055</v>
      </c>
      <c r="C38" s="49" t="str">
        <f>'01B_Findings_ID'!C59</f>
        <v>Semua agent</v>
      </c>
      <c r="D38" s="49" t="str">
        <f>'01B_Findings_ID'!H59</f>
        <v>Agentic Action tidak membawa tingkat keyakinan</v>
      </c>
      <c r="E38" s="49" t="str">
        <f>'01B_Findings_ID'!J59</f>
        <v>Ada tingkat keyakinan beserta dasarnya di setiap aksi. CFO tidak akan menyetujui rekomendasi yang tidak mau menyebut seberapa yakin dirinya.</v>
      </c>
      <c r="F38" s="49" t="str">
        <f>'01B_Findings_ID'!L59</f>
        <v>Backend</v>
      </c>
      <c r="G38" s="55" t="str">
        <f>'01B_Findings_ID'!M59</f>
        <v>2026-08-08</v>
      </c>
      <c r="H38" s="49" t="str">
        <f>IF(INDEX('01B_Findings_ID'!$N$5:$N$66,MATCH(B38,'01B_Findings_ID'!$A$5:$A$66,0))="Terbuka","Belum selesai",INDEX('01B_Findings_ID'!$N$5:$N$66,MATCH(B38,'01B_Findings_ID'!$A$5:$A$66,0)))</f>
        <v>Belum selesai</v>
      </c>
      <c r="I38" s="49" t="s">
        <v>1568</v>
      </c>
      <c r="J38" s="49" t="s">
        <v>1569</v>
      </c>
      <c r="K38" s="54" t="s">
        <v>1503</v>
      </c>
      <c r="L38" s="54" t="str">
        <f>IF(H38&lt;&gt;"Belum selesai","Sudah ditutup",IF(IFERROR(DATEVALUE(G38),G38)&lt;DATE(2026,7,30),"Lewat target",IF(IFERROR(DATEVALUE(G38),G38)=DATE(2026,7,30),"Jatuh tempo hari ini",IF(IFERROR(DATEVALUE(G38),G38)&lt;=DATE(2026,8,6),"Segera: maksimal 7 hari","Masih ada waktu"))))</f>
        <v>Masih ada waktu</v>
      </c>
      <c r="M38" s="49" t="s">
        <v>1660</v>
      </c>
    </row>
    <row r="39" spans="1:13" ht="101.5" x14ac:dyDescent="0.35">
      <c r="A39" s="49" t="str">
        <f>IF(INDEX('01B_Findings_ID'!$G$5:$G$66,MATCH(B39,'01B_Findings_ID'!$A$5:$A$66,0))="Ya",IF(INDEX('01B_Findings_ID'!$F$5:$F$66,MATCH(B39,'01B_Findings_ID'!$A$5:$A$66,0))="Kritis","Sangat mendesak",IF(INDEX('01B_Findings_ID'!$F$5:$F$66,MATCH(B39,'01B_Findings_ID'!$A$5:$A$66,0))="Tinggi","Mendesak","Penting")),IF(INDEX('01B_Findings_ID'!$F$5:$F$66,MATCH(B39,'01B_Findings_ID'!$A$5:$A$66,0))="Kritis","Mendesak",IF(INDEX('01B_Findings_ID'!$F$5:$F$66,MATCH(B39,'01B_Findings_ID'!$A$5:$A$66,0))="Tinggi","Penting","Dapat dijadwalkan")))</f>
        <v>Mendesak</v>
      </c>
      <c r="B39" s="48" t="str">
        <f>'01B_Findings_ID'!A60</f>
        <v>QC-056</v>
      </c>
      <c r="C39" s="49" t="str">
        <f>'01B_Findings_ID'!C60</f>
        <v>Semua agent</v>
      </c>
      <c r="D39" s="49" t="str">
        <f>'01B_Findings_ID'!H60</f>
        <v>Tidak ada tampilan rantai saat aksi dieksekusi</v>
      </c>
      <c r="E39" s="49" t="str">
        <f>'01B_Findings_ID'!J60</f>
        <v>Ada jejak eksekusi yang terlihat melintasi para penerima. Ini momen agentic terkuat dalam demo, dan saat ini tidak punya visual sama sekali.</v>
      </c>
      <c r="F39" s="49" t="str">
        <f>'01B_Findings_ID'!L60</f>
        <v>Frontend</v>
      </c>
      <c r="G39" s="55" t="str">
        <f>'01B_Findings_ID'!M60</f>
        <v>2026-08-08</v>
      </c>
      <c r="H39" s="49" t="str">
        <f>IF(INDEX('01B_Findings_ID'!$N$5:$N$66,MATCH(B39,'01B_Findings_ID'!$A$5:$A$66,0))="Terbuka","Belum selesai",INDEX('01B_Findings_ID'!$N$5:$N$66,MATCH(B39,'01B_Findings_ID'!$A$5:$A$66,0)))</f>
        <v>Belum selesai</v>
      </c>
      <c r="I39" s="49" t="s">
        <v>1570</v>
      </c>
      <c r="J39" s="49" t="s">
        <v>1571</v>
      </c>
      <c r="K39" s="54" t="s">
        <v>1503</v>
      </c>
      <c r="L39" s="54" t="str">
        <f>IF(H39&lt;&gt;"Belum selesai","Sudah ditutup",IF(IFERROR(DATEVALUE(G39),G39)&lt;DATE(2026,7,30),"Lewat target",IF(IFERROR(DATEVALUE(G39),G39)=DATE(2026,7,30),"Jatuh tempo hari ini",IF(IFERROR(DATEVALUE(G39),G39)&lt;=DATE(2026,8,6),"Segera: maksimal 7 hari","Masih ada waktu"))))</f>
        <v>Masih ada waktu</v>
      </c>
      <c r="M39" s="49" t="s">
        <v>1649</v>
      </c>
    </row>
    <row r="40" spans="1:13" ht="101.5" x14ac:dyDescent="0.35">
      <c r="A40" s="49" t="str">
        <f>IF(INDEX('01B_Findings_ID'!$G$5:$G$66,MATCH(B40,'01B_Findings_ID'!$A$5:$A$66,0))="Ya",IF(INDEX('01B_Findings_ID'!$F$5:$F$66,MATCH(B40,'01B_Findings_ID'!$A$5:$A$66,0))="Kritis","Sangat mendesak",IF(INDEX('01B_Findings_ID'!$F$5:$F$66,MATCH(B40,'01B_Findings_ID'!$A$5:$A$66,0))="Tinggi","Mendesak","Penting")),IF(INDEX('01B_Findings_ID'!$F$5:$F$66,MATCH(B40,'01B_Findings_ID'!$A$5:$A$66,0))="Kritis","Mendesak",IF(INDEX('01B_Findings_ID'!$F$5:$F$66,MATCH(B40,'01B_Findings_ID'!$A$5:$A$66,0))="Tinggi","Penting","Dapat dijadwalkan")))</f>
        <v>Mendesak</v>
      </c>
      <c r="B40" s="48" t="str">
        <f>'01B_Findings_ID'!A62</f>
        <v>QC-058</v>
      </c>
      <c r="C40" s="49" t="str">
        <f>'01B_Findings_ID'!C62</f>
        <v>Semua agent</v>
      </c>
      <c r="D40" s="49" t="str">
        <f>'01B_Findings_ID'!H62</f>
        <v>Tidak ada pengalih Bahasa Indonesia</v>
      </c>
      <c r="E40" s="49" t="str">
        <f>'01B_Findings_ID'!J62</f>
        <v>Ada pengalih bahasa. Audiensnya orang Indonesia, dan kemampuan berpindah ke Bahasa di tengah demo adalah pembeda yang tidak akan ditunjukkan kompetitor.</v>
      </c>
      <c r="F40" s="49" t="str">
        <f>'01B_Findings_ID'!L62</f>
        <v>Backend + frontend</v>
      </c>
      <c r="G40" s="55" t="str">
        <f>'01B_Findings_ID'!M62</f>
        <v>2026-08-08</v>
      </c>
      <c r="H40" s="49" t="str">
        <f>IF(INDEX('01B_Findings_ID'!$N$5:$N$66,MATCH(B40,'01B_Findings_ID'!$A$5:$A$66,0))="Terbuka","Belum selesai",INDEX('01B_Findings_ID'!$N$5:$N$66,MATCH(B40,'01B_Findings_ID'!$A$5:$A$66,0)))</f>
        <v>Belum selesai</v>
      </c>
      <c r="I40" s="49" t="s">
        <v>1572</v>
      </c>
      <c r="J40" s="49" t="s">
        <v>1573</v>
      </c>
      <c r="K40" s="54" t="s">
        <v>1503</v>
      </c>
      <c r="L40" s="54" t="str">
        <f>IF(H40&lt;&gt;"Belum selesai","Sudah ditutup",IF(IFERROR(DATEVALUE(G40),G40)&lt;DATE(2026,7,30),"Lewat target",IF(IFERROR(DATEVALUE(G40),G40)=DATE(2026,7,30),"Jatuh tempo hari ini",IF(IFERROR(DATEVALUE(G40),G40)&lt;=DATE(2026,8,6),"Segera: maksimal 7 hari","Masih ada waktu"))))</f>
        <v>Masih ada waktu</v>
      </c>
      <c r="M40" s="49" t="s">
        <v>1661</v>
      </c>
    </row>
    <row r="41" spans="1:13" ht="87" x14ac:dyDescent="0.35">
      <c r="A41" s="49" t="str">
        <f>IF(INDEX('01B_Findings_ID'!$G$5:$G$66,MATCH(B41,'01B_Findings_ID'!$A$5:$A$66,0))="Ya",IF(INDEX('01B_Findings_ID'!$F$5:$F$66,MATCH(B41,'01B_Findings_ID'!$A$5:$A$66,0))="Kritis","Sangat mendesak",IF(INDEX('01B_Findings_ID'!$F$5:$F$66,MATCH(B41,'01B_Findings_ID'!$A$5:$A$66,0))="Tinggi","Mendesak","Penting")),IF(INDEX('01B_Findings_ID'!$F$5:$F$66,MATCH(B41,'01B_Findings_ID'!$A$5:$A$66,0))="Kritis","Mendesak",IF(INDEX('01B_Findings_ID'!$F$5:$F$66,MATCH(B41,'01B_Findings_ID'!$A$5:$A$66,0))="Tinggi","Penting","Dapat dijadwalkan")))</f>
        <v>Mendesak</v>
      </c>
      <c r="B41" s="48" t="str">
        <f>'01B_Findings_ID'!A61</f>
        <v>QC-057</v>
      </c>
      <c r="C41" s="49" t="str">
        <f>'01B_Findings_ID'!C61</f>
        <v>Semua agent</v>
      </c>
      <c r="D41" s="49" t="str">
        <f>'01B_Findings_ID'!H61</f>
        <v>Tidak ada umpan notifikasi status</v>
      </c>
      <c r="E41" s="49" t="str">
        <f>'01B_Findings_ID'!J61</f>
        <v>Ada umpan aktivitas terpisah dari alert, menampilkan apa yang sudah dieksekusi agent dan kapan.</v>
      </c>
      <c r="F41" s="49" t="str">
        <f>'01B_Findings_ID'!L61</f>
        <v>Backend + frontend</v>
      </c>
      <c r="G41" s="55" t="str">
        <f>'01B_Findings_ID'!M61</f>
        <v>2026-08-11</v>
      </c>
      <c r="H41" s="49" t="str">
        <f>IF(INDEX('01B_Findings_ID'!$N$5:$N$66,MATCH(B41,'01B_Findings_ID'!$A$5:$A$66,0))="Terbuka","Belum selesai",INDEX('01B_Findings_ID'!$N$5:$N$66,MATCH(B41,'01B_Findings_ID'!$A$5:$A$66,0)))</f>
        <v>Belum selesai</v>
      </c>
      <c r="I41" s="49" t="s">
        <v>1574</v>
      </c>
      <c r="J41" s="49" t="s">
        <v>1575</v>
      </c>
      <c r="K41" s="54" t="s">
        <v>1503</v>
      </c>
      <c r="L41" s="54" t="str">
        <f>IF(H41&lt;&gt;"Belum selesai","Sudah ditutup",IF(IFERROR(DATEVALUE(G41),G41)&lt;DATE(2026,7,30),"Lewat target",IF(IFERROR(DATEVALUE(G41),G41)=DATE(2026,7,30),"Jatuh tempo hari ini",IF(IFERROR(DATEVALUE(G41),G41)&lt;=DATE(2026,8,6),"Segera: maksimal 7 hari","Masih ada waktu"))))</f>
        <v>Masih ada waktu</v>
      </c>
      <c r="M41" s="49" t="s">
        <v>1662</v>
      </c>
    </row>
    <row r="42" spans="1:13" ht="72.5" x14ac:dyDescent="0.35">
      <c r="A42" s="49" t="str">
        <f>IF(INDEX('01B_Findings_ID'!$G$5:$G$66,MATCH(B42,'01B_Findings_ID'!$A$5:$A$66,0))="Ya",IF(INDEX('01B_Findings_ID'!$F$5:$F$66,MATCH(B42,'01B_Findings_ID'!$A$5:$A$66,0))="Kritis","Sangat mendesak",IF(INDEX('01B_Findings_ID'!$F$5:$F$66,MATCH(B42,'01B_Findings_ID'!$A$5:$A$66,0))="Tinggi","Mendesak","Penting")),IF(INDEX('01B_Findings_ID'!$F$5:$F$66,MATCH(B42,'01B_Findings_ID'!$A$5:$A$66,0))="Kritis","Mendesak",IF(INDEX('01B_Findings_ID'!$F$5:$F$66,MATCH(B42,'01B_Findings_ID'!$A$5:$A$66,0))="Tinggi","Penting","Dapat dijadwalkan")))</f>
        <v>Penting</v>
      </c>
      <c r="B42" s="48" t="str">
        <f>'01B_Findings_ID'!A39</f>
        <v>QC-035</v>
      </c>
      <c r="C42" s="49" t="str">
        <f>'01B_Findings_ID'!C39</f>
        <v>Semua agent</v>
      </c>
      <c r="D42" s="49" t="str">
        <f>'01B_Findings_ID'!H39</f>
        <v>Tidak ada grafik yang mencantumkan periodenya</v>
      </c>
      <c r="E42" s="49" t="str">
        <f>'01B_Findings_ID'!J39</f>
        <v>Setiap judul grafik mencantumkan periode, misalnya 'Okt 2025 sampai Sep 2026'.</v>
      </c>
      <c r="F42" s="49" t="str">
        <f>'01B_Findings_ID'!L39</f>
        <v>Frontend + backend</v>
      </c>
      <c r="G42" s="55" t="str">
        <f>'01B_Findings_ID'!M39</f>
        <v>2026-08-11</v>
      </c>
      <c r="H42" s="49" t="str">
        <f>IF(INDEX('01B_Findings_ID'!$N$5:$N$66,MATCH(B42,'01B_Findings_ID'!$A$5:$A$66,0))="Terbuka","Belum selesai",INDEX('01B_Findings_ID'!$N$5:$N$66,MATCH(B42,'01B_Findings_ID'!$A$5:$A$66,0)))</f>
        <v>Belum selesai</v>
      </c>
      <c r="I42" s="49" t="s">
        <v>1576</v>
      </c>
      <c r="J42" s="49" t="s">
        <v>1577</v>
      </c>
      <c r="K42" s="54" t="s">
        <v>1503</v>
      </c>
      <c r="L42" s="54" t="str">
        <f>IF(H42&lt;&gt;"Belum selesai","Sudah ditutup",IF(IFERROR(DATEVALUE(G42),G42)&lt;DATE(2026,7,30),"Lewat target",IF(IFERROR(DATEVALUE(G42),G42)=DATE(2026,7,30),"Jatuh tempo hari ini",IF(IFERROR(DATEVALUE(G42),G42)&lt;=DATE(2026,8,6),"Segera: maksimal 7 hari","Masih ada waktu"))))</f>
        <v>Masih ada waktu</v>
      </c>
      <c r="M42" s="49" t="s">
        <v>1653</v>
      </c>
    </row>
    <row r="43" spans="1:13" ht="101.5" x14ac:dyDescent="0.35">
      <c r="A43" s="49" t="str">
        <f>IF(INDEX('01B_Findings_ID'!$G$5:$G$66,MATCH(B43,'01B_Findings_ID'!$A$5:$A$66,0))="Ya",IF(INDEX('01B_Findings_ID'!$F$5:$F$66,MATCH(B43,'01B_Findings_ID'!$A$5:$A$66,0))="Kritis","Sangat mendesak",IF(INDEX('01B_Findings_ID'!$F$5:$F$66,MATCH(B43,'01B_Findings_ID'!$A$5:$A$66,0))="Tinggi","Mendesak","Penting")),IF(INDEX('01B_Findings_ID'!$F$5:$F$66,MATCH(B43,'01B_Findings_ID'!$A$5:$A$66,0))="Kritis","Mendesak",IF(INDEX('01B_Findings_ID'!$F$5:$F$66,MATCH(B43,'01B_Findings_ID'!$A$5:$A$66,0))="Tinggi","Penting","Dapat dijadwalkan")))</f>
        <v>Penting</v>
      </c>
      <c r="B43" s="48" t="str">
        <f>'01B_Findings_ID'!A41</f>
        <v>QC-037</v>
      </c>
      <c r="C43" s="49" t="str">
        <f>'01B_Findings_ID'!C41</f>
        <v>Treasury</v>
      </c>
      <c r="D43" s="49" t="str">
        <f>'01B_Findings_ID'!H41</f>
        <v>Grafik kas tidak bisa menjawab mengapa Minggu 5 rendah</v>
      </c>
      <c r="E43" s="49" t="str">
        <f>'01B_Findings_ID'!J41</f>
        <v>Tampilkan arus masuk, arus keluar, dan lini terbesar di baliknya per minggu, supaya pertanyaan lanjutan bisa dijawab langsung di layar.</v>
      </c>
      <c r="F43" s="49" t="str">
        <f>'01B_Findings_ID'!L41</f>
        <v>Backend + frontend</v>
      </c>
      <c r="G43" s="55" t="str">
        <f>'01B_Findings_ID'!M41</f>
        <v>2026-08-11</v>
      </c>
      <c r="H43" s="49" t="str">
        <f>IF(INDEX('01B_Findings_ID'!$N$5:$N$66,MATCH(B43,'01B_Findings_ID'!$A$5:$A$66,0))="Terbuka","Belum selesai",INDEX('01B_Findings_ID'!$N$5:$N$66,MATCH(B43,'01B_Findings_ID'!$A$5:$A$66,0)))</f>
        <v>Belum selesai</v>
      </c>
      <c r="I43" s="49" t="s">
        <v>1578</v>
      </c>
      <c r="J43" s="49" t="s">
        <v>1579</v>
      </c>
      <c r="K43" s="54" t="s">
        <v>1503</v>
      </c>
      <c r="L43" s="54" t="str">
        <f>IF(H43&lt;&gt;"Belum selesai","Sudah ditutup",IF(IFERROR(DATEVALUE(G43),G43)&lt;DATE(2026,7,30),"Lewat target",IF(IFERROR(DATEVALUE(G43),G43)=DATE(2026,7,30),"Jatuh tempo hari ini",IF(IFERROR(DATEVALUE(G43),G43)&lt;=DATE(2026,8,6),"Segera: maksimal 7 hari","Masih ada waktu"))))</f>
        <v>Masih ada waktu</v>
      </c>
      <c r="M43" s="49" t="s">
        <v>1639</v>
      </c>
    </row>
    <row r="44" spans="1:13" ht="87" x14ac:dyDescent="0.35">
      <c r="A44" s="49" t="str">
        <f>IF(INDEX('01B_Findings_ID'!$G$5:$G$66,MATCH(B44,'01B_Findings_ID'!$A$5:$A$66,0))="Ya",IF(INDEX('01B_Findings_ID'!$F$5:$F$66,MATCH(B44,'01B_Findings_ID'!$A$5:$A$66,0))="Kritis","Sangat mendesak",IF(INDEX('01B_Findings_ID'!$F$5:$F$66,MATCH(B44,'01B_Findings_ID'!$A$5:$A$66,0))="Tinggi","Mendesak","Penting")),IF(INDEX('01B_Findings_ID'!$F$5:$F$66,MATCH(B44,'01B_Findings_ID'!$A$5:$A$66,0))="Kritis","Mendesak",IF(INDEX('01B_Findings_ID'!$F$5:$F$66,MATCH(B44,'01B_Findings_ID'!$A$5:$A$66,0))="Tinggi","Penting","Dapat dijadwalkan")))</f>
        <v>Penting</v>
      </c>
      <c r="B44" s="48" t="str">
        <f>'01B_Findings_ID'!A43</f>
        <v>QC-039</v>
      </c>
      <c r="C44" s="49" t="str">
        <f>'01B_Findings_ID'!C43</f>
        <v>Semua agent</v>
      </c>
      <c r="D44" s="49" t="str">
        <f>'01B_Findings_ID'!H43</f>
        <v>Kata 'illustrative' terekspos di dalam payload</v>
      </c>
      <c r="E44" s="49" t="str">
        <f>'01B_Findings_ID'!J43</f>
        <v>Hapus catatan developer dari apa pun yang bisa dilihat CFO. Kalau perlu disclosure, cukup satu badge 'demo data' yang rapi.</v>
      </c>
      <c r="F44" s="49" t="str">
        <f>'01B_Findings_ID'!L43</f>
        <v>Backend</v>
      </c>
      <c r="G44" s="55" t="str">
        <f>'01B_Findings_ID'!M43</f>
        <v>2026-08-11</v>
      </c>
      <c r="H44" s="49" t="str">
        <f>IF(INDEX('01B_Findings_ID'!$N$5:$N$66,MATCH(B44,'01B_Findings_ID'!$A$5:$A$66,0))="Terbuka","Belum selesai",INDEX('01B_Findings_ID'!$N$5:$N$66,MATCH(B44,'01B_Findings_ID'!$A$5:$A$66,0)))</f>
        <v>Belum selesai</v>
      </c>
      <c r="I44" s="49" t="s">
        <v>1580</v>
      </c>
      <c r="J44" s="49" t="s">
        <v>1581</v>
      </c>
      <c r="K44" s="54" t="s">
        <v>1503</v>
      </c>
      <c r="L44" s="54" t="str">
        <f>IF(H44&lt;&gt;"Belum selesai","Sudah ditutup",IF(IFERROR(DATEVALUE(G44),G44)&lt;DATE(2026,7,30),"Lewat target",IF(IFERROR(DATEVALUE(G44),G44)=DATE(2026,7,30),"Jatuh tempo hari ini",IF(IFERROR(DATEVALUE(G44),G44)&lt;=DATE(2026,8,6),"Segera: maksimal 7 hari","Masih ada waktu"))))</f>
        <v>Masih ada waktu</v>
      </c>
      <c r="M44" s="49" t="s">
        <v>1663</v>
      </c>
    </row>
    <row r="45" spans="1:13" ht="87" x14ac:dyDescent="0.35">
      <c r="A45" s="49" t="str">
        <f>IF(INDEX('01B_Findings_ID'!$G$5:$G$66,MATCH(B45,'01B_Findings_ID'!$A$5:$A$66,0))="Ya",IF(INDEX('01B_Findings_ID'!$F$5:$F$66,MATCH(B45,'01B_Findings_ID'!$A$5:$A$66,0))="Kritis","Sangat mendesak",IF(INDEX('01B_Findings_ID'!$F$5:$F$66,MATCH(B45,'01B_Findings_ID'!$A$5:$A$66,0))="Tinggi","Mendesak","Penting")),IF(INDEX('01B_Findings_ID'!$F$5:$F$66,MATCH(B45,'01B_Findings_ID'!$A$5:$A$66,0))="Kritis","Mendesak",IF(INDEX('01B_Findings_ID'!$F$5:$F$66,MATCH(B45,'01B_Findings_ID'!$A$5:$A$66,0))="Tinggi","Penting","Dapat dijadwalkan")))</f>
        <v>Penting</v>
      </c>
      <c r="B45" s="48" t="str">
        <f>'01B_Findings_ID'!A44</f>
        <v>QC-040</v>
      </c>
      <c r="C45" s="49" t="str">
        <f>'01B_Findings_ID'!C44</f>
        <v>Treasury</v>
      </c>
      <c r="D45" s="49" t="str">
        <f>'01B_Findings_ID'!H44</f>
        <v>Belum jelas apakah keterlambatan pelanggan sudah masuk ke dalam forecast</v>
      </c>
      <c r="E45" s="49" t="str">
        <f>'01B_Findings_ID'!J44</f>
        <v>Nyatakan dengan jelas apakah forecast disajikan sebelum atau sesudah penundaan.</v>
      </c>
      <c r="F45" s="49" t="str">
        <f>'01B_Findings_ID'!L44</f>
        <v>Backend / logika agent</v>
      </c>
      <c r="G45" s="55" t="str">
        <f>'01B_Findings_ID'!M44</f>
        <v>2026-08-11</v>
      </c>
      <c r="H45" s="49" t="str">
        <f>IF(INDEX('01B_Findings_ID'!$N$5:$N$66,MATCH(B45,'01B_Findings_ID'!$A$5:$A$66,0))="Terbuka","Belum selesai",INDEX('01B_Findings_ID'!$N$5:$N$66,MATCH(B45,'01B_Findings_ID'!$A$5:$A$66,0)))</f>
        <v>Belum selesai</v>
      </c>
      <c r="I45" s="49" t="s">
        <v>1582</v>
      </c>
      <c r="J45" s="49" t="s">
        <v>1583</v>
      </c>
      <c r="K45" s="54" t="s">
        <v>1503</v>
      </c>
      <c r="L45" s="54" t="str">
        <f>IF(H45&lt;&gt;"Belum selesai","Sudah ditutup",IF(IFERROR(DATEVALUE(G45),G45)&lt;DATE(2026,7,30),"Lewat target",IF(IFERROR(DATEVALUE(G45),G45)=DATE(2026,7,30),"Jatuh tempo hari ini",IF(IFERROR(DATEVALUE(G45),G45)&lt;=DATE(2026,8,6),"Segera: maksimal 7 hari","Masih ada waktu"))))</f>
        <v>Masih ada waktu</v>
      </c>
      <c r="M45" s="49" t="s">
        <v>1655</v>
      </c>
    </row>
    <row r="46" spans="1:13" ht="101.5" x14ac:dyDescent="0.35">
      <c r="A46" s="49" t="str">
        <f>IF(INDEX('01B_Findings_ID'!$G$5:$G$66,MATCH(B46,'01B_Findings_ID'!$A$5:$A$66,0))="Ya",IF(INDEX('01B_Findings_ID'!$F$5:$F$66,MATCH(B46,'01B_Findings_ID'!$A$5:$A$66,0))="Kritis","Sangat mendesak",IF(INDEX('01B_Findings_ID'!$F$5:$F$66,MATCH(B46,'01B_Findings_ID'!$A$5:$A$66,0))="Tinggi","Mendesak","Penting")),IF(INDEX('01B_Findings_ID'!$F$5:$F$66,MATCH(B46,'01B_Findings_ID'!$A$5:$A$66,0))="Kritis","Mendesak",IF(INDEX('01B_Findings_ID'!$F$5:$F$66,MATCH(B46,'01B_Findings_ID'!$A$5:$A$66,0))="Tinggi","Penting","Dapat dijadwalkan")))</f>
        <v>Penting</v>
      </c>
      <c r="B46" s="48" t="str">
        <f>'01B_Findings_ID'!A46</f>
        <v>QC-042</v>
      </c>
      <c r="C46" s="49" t="str">
        <f>'01B_Findings_ID'!C46</f>
        <v>Semua agent</v>
      </c>
      <c r="D46" s="49" t="str">
        <f>'01B_Findings_ID'!H46</f>
        <v>Starter prompt tidak menampilkan bagian terkuat dari cerita</v>
      </c>
      <c r="E46" s="49" t="str">
        <f>'01B_Findings_ID'!J46</f>
        <v>Tambahkan prompt seperti 'Agent mana yang harus memperbaiki masalah margin?' dan 'Kalau Collection menarik kas lebih awal, apa dampaknya ke Minggu 5?'</v>
      </c>
      <c r="F46" s="49" t="str">
        <f>'01B_Findings_ID'!L46</f>
        <v>Pemilik demo</v>
      </c>
      <c r="G46" s="55" t="str">
        <f>'01B_Findings_ID'!M46</f>
        <v>2026-08-11</v>
      </c>
      <c r="H46" s="49" t="str">
        <f>IF(INDEX('01B_Findings_ID'!$N$5:$N$66,MATCH(B46,'01B_Findings_ID'!$A$5:$A$66,0))="Terbuka","Belum selesai",INDEX('01B_Findings_ID'!$N$5:$N$66,MATCH(B46,'01B_Findings_ID'!$A$5:$A$66,0)))</f>
        <v>Belum selesai</v>
      </c>
      <c r="I46" s="49" t="s">
        <v>1584</v>
      </c>
      <c r="J46" s="49" t="s">
        <v>1585</v>
      </c>
      <c r="K46" s="54" t="s">
        <v>1503</v>
      </c>
      <c r="L46" s="54" t="str">
        <f>IF(H46&lt;&gt;"Belum selesai","Sudah ditutup",IF(IFERROR(DATEVALUE(G46),G46)&lt;DATE(2026,7,30),"Lewat target",IF(IFERROR(DATEVALUE(G46),G46)=DATE(2026,7,30),"Jatuh tempo hari ini",IF(IFERROR(DATEVALUE(G46),G46)&lt;=DATE(2026,8,6),"Segera: maksimal 7 hari","Masih ada waktu"))))</f>
        <v>Masih ada waktu</v>
      </c>
      <c r="M46" s="49" t="s">
        <v>1639</v>
      </c>
    </row>
    <row r="47" spans="1:13" ht="87" x14ac:dyDescent="0.35">
      <c r="A47" s="49" t="str">
        <f>IF(INDEX('01B_Findings_ID'!$G$5:$G$66,MATCH(B47,'01B_Findings_ID'!$A$5:$A$66,0))="Ya",IF(INDEX('01B_Findings_ID'!$F$5:$F$66,MATCH(B47,'01B_Findings_ID'!$A$5:$A$66,0))="Kritis","Sangat mendesak",IF(INDEX('01B_Findings_ID'!$F$5:$F$66,MATCH(B47,'01B_Findings_ID'!$A$5:$A$66,0))="Tinggi","Mendesak","Penting")),IF(INDEX('01B_Findings_ID'!$F$5:$F$66,MATCH(B47,'01B_Findings_ID'!$A$5:$A$66,0))="Kritis","Mendesak",IF(INDEX('01B_Findings_ID'!$F$5:$F$66,MATCH(B47,'01B_Findings_ID'!$A$5:$A$66,0))="Tinggi","Penting","Dapat dijadwalkan")))</f>
        <v>Penting</v>
      </c>
      <c r="B47" s="48" t="str">
        <f>'01B_Findings_ID'!A16</f>
        <v>QC-012</v>
      </c>
      <c r="C47" s="49" t="str">
        <f>'01B_Findings_ID'!C16</f>
        <v>Finance</v>
      </c>
      <c r="D47" s="49" t="str">
        <f>'01B_Findings_ID'!H16</f>
        <v>Dua angka yang hampir sama artinya berbeda</v>
      </c>
      <c r="E47" s="49" t="str">
        <f>'01B_Findings_ID'!J16</f>
        <v>Pisahkan keduanya di layar, atau bulatkan berbeda supaya tidak tertukar saat presentasi.</v>
      </c>
      <c r="F47" s="49" t="str">
        <f>'01B_Findings_ID'!L16</f>
        <v>Pemilik demo</v>
      </c>
      <c r="G47" s="55" t="str">
        <f>'01B_Findings_ID'!M16</f>
        <v>2026-08-04</v>
      </c>
      <c r="H47" s="49" t="str">
        <f>IF(INDEX('01B_Findings_ID'!$N$5:$N$66,MATCH(B47,'01B_Findings_ID'!$A$5:$A$66,0))="Terbuka","Belum selesai",INDEX('01B_Findings_ID'!$N$5:$N$66,MATCH(B47,'01B_Findings_ID'!$A$5:$A$66,0)))</f>
        <v>Belum selesai</v>
      </c>
      <c r="I47" s="49" t="s">
        <v>1586</v>
      </c>
      <c r="J47" s="49" t="s">
        <v>1587</v>
      </c>
      <c r="K47" s="54" t="s">
        <v>1503</v>
      </c>
      <c r="L47" s="54" t="str">
        <f>IF(H47&lt;&gt;"Belum selesai","Sudah ditutup",IF(IFERROR(DATEVALUE(G47),G47)&lt;DATE(2026,7,30),"Lewat target",IF(IFERROR(DATEVALUE(G47),G47)=DATE(2026,7,30),"Jatuh tempo hari ini",IF(IFERROR(DATEVALUE(G47),G47)&lt;=DATE(2026,8,6),"Segera: maksimal 7 hari","Masih ada waktu"))))</f>
        <v>Segera: maksimal 7 hari</v>
      </c>
      <c r="M47" s="49" t="s">
        <v>1655</v>
      </c>
    </row>
    <row r="48" spans="1:13" ht="72.5" x14ac:dyDescent="0.35">
      <c r="A48" s="49" t="str">
        <f>IF(INDEX('01B_Findings_ID'!$G$5:$G$66,MATCH(B48,'01B_Findings_ID'!$A$5:$A$66,0))="Ya",IF(INDEX('01B_Findings_ID'!$F$5:$F$66,MATCH(B48,'01B_Findings_ID'!$A$5:$A$66,0))="Kritis","Sangat mendesak",IF(INDEX('01B_Findings_ID'!$F$5:$F$66,MATCH(B48,'01B_Findings_ID'!$A$5:$A$66,0))="Tinggi","Mendesak","Penting")),IF(INDEX('01B_Findings_ID'!$F$5:$F$66,MATCH(B48,'01B_Findings_ID'!$A$5:$A$66,0))="Kritis","Mendesak",IF(INDEX('01B_Findings_ID'!$F$5:$F$66,MATCH(B48,'01B_Findings_ID'!$A$5:$A$66,0))="Tinggi","Penting","Dapat dijadwalkan")))</f>
        <v>Penting</v>
      </c>
      <c r="B48" s="48" t="str">
        <f>'01B_Findings_ID'!A22</f>
        <v>QC-018</v>
      </c>
      <c r="C48" s="49" t="str">
        <f>'01B_Findings_ID'!C22</f>
        <v>Collection</v>
      </c>
      <c r="D48" s="49" t="str">
        <f>'01B_Findings_ID'!H22</f>
        <v>Aksi memberi label konsentrasi top-2 sebagai porsi overdue keseluruhan</v>
      </c>
      <c r="E48" s="49" t="str">
        <f>'01B_Findings_ID'!J22</f>
        <v>Beri label 'Porsi top-2 terhadap overdue'.</v>
      </c>
      <c r="F48" s="49" t="str">
        <f>'01B_Findings_ID'!L22</f>
        <v>Backend / logika agent</v>
      </c>
      <c r="G48" s="55" t="str">
        <f>'01B_Findings_ID'!M22</f>
        <v>2026-08-04</v>
      </c>
      <c r="H48" s="49" t="str">
        <f>IF(INDEX('01B_Findings_ID'!$N$5:$N$66,MATCH(B48,'01B_Findings_ID'!$A$5:$A$66,0))="Terbuka","Belum selesai",INDEX('01B_Findings_ID'!$N$5:$N$66,MATCH(B48,'01B_Findings_ID'!$A$5:$A$66,0)))</f>
        <v>Belum selesai</v>
      </c>
      <c r="I48" s="49" t="s">
        <v>1588</v>
      </c>
      <c r="J48" s="49" t="s">
        <v>1589</v>
      </c>
      <c r="K48" s="54" t="s">
        <v>1503</v>
      </c>
      <c r="L48" s="54" t="str">
        <f>IF(H48&lt;&gt;"Belum selesai","Sudah ditutup",IF(IFERROR(DATEVALUE(G48),G48)&lt;DATE(2026,7,30),"Lewat target",IF(IFERROR(DATEVALUE(G48),G48)=DATE(2026,7,30),"Jatuh tempo hari ini",IF(IFERROR(DATEVALUE(G48),G48)&lt;=DATE(2026,8,6),"Segera: maksimal 7 hari","Masih ada waktu"))))</f>
        <v>Segera: maksimal 7 hari</v>
      </c>
      <c r="M48" s="49" t="s">
        <v>1664</v>
      </c>
    </row>
    <row r="49" spans="1:13" ht="72.5" x14ac:dyDescent="0.35">
      <c r="A49" s="49" t="str">
        <f>IF(INDEX('01B_Findings_ID'!$G$5:$G$66,MATCH(B49,'01B_Findings_ID'!$A$5:$A$66,0))="Ya",IF(INDEX('01B_Findings_ID'!$F$5:$F$66,MATCH(B49,'01B_Findings_ID'!$A$5:$A$66,0))="Kritis","Sangat mendesak",IF(INDEX('01B_Findings_ID'!$F$5:$F$66,MATCH(B49,'01B_Findings_ID'!$A$5:$A$66,0))="Tinggi","Mendesak","Penting")),IF(INDEX('01B_Findings_ID'!$F$5:$F$66,MATCH(B49,'01B_Findings_ID'!$A$5:$A$66,0))="Kritis","Mendesak",IF(INDEX('01B_Findings_ID'!$F$5:$F$66,MATCH(B49,'01B_Findings_ID'!$A$5:$A$66,0))="Tinggi","Penting","Dapat dijadwalkan")))</f>
        <v>Penting</v>
      </c>
      <c r="B49" s="48" t="str">
        <f>'01B_Findings_ID'!A27</f>
        <v>QC-023</v>
      </c>
      <c r="C49" s="49" t="str">
        <f>'01B_Findings_ID'!C27</f>
        <v>Semua agent</v>
      </c>
      <c r="D49" s="49" t="str">
        <f>'01B_Findings_ID'!H27</f>
        <v>47 alert yang sebenarnya menceritakan sekitar delapan hal</v>
      </c>
      <c r="E49" s="49" t="str">
        <f>'01B_Findings_ID'!J27</f>
        <v>Kelompokkan menjadi satu alert per isu dasar, dengan peringkat severity.</v>
      </c>
      <c r="F49" s="49" t="str">
        <f>'01B_Findings_ID'!L27</f>
        <v>Backend / logika agent</v>
      </c>
      <c r="G49" s="55" t="str">
        <f>'01B_Findings_ID'!M27</f>
        <v>2026-08-04</v>
      </c>
      <c r="H49" s="49" t="str">
        <f>IF(INDEX('01B_Findings_ID'!$N$5:$N$66,MATCH(B49,'01B_Findings_ID'!$A$5:$A$66,0))="Terbuka","Belum selesai",INDEX('01B_Findings_ID'!$N$5:$N$66,MATCH(B49,'01B_Findings_ID'!$A$5:$A$66,0)))</f>
        <v>Belum selesai</v>
      </c>
      <c r="I49" s="49" t="s">
        <v>1590</v>
      </c>
      <c r="J49" s="49" t="s">
        <v>1591</v>
      </c>
      <c r="K49" s="54" t="s">
        <v>1503</v>
      </c>
      <c r="L49" s="54" t="str">
        <f>IF(H49&lt;&gt;"Belum selesai","Sudah ditutup",IF(IFERROR(DATEVALUE(G49),G49)&lt;DATE(2026,7,30),"Lewat target",IF(IFERROR(DATEVALUE(G49),G49)=DATE(2026,7,30),"Jatuh tempo hari ini",IF(IFERROR(DATEVALUE(G49),G49)&lt;=DATE(2026,8,6),"Segera: maksimal 7 hari","Masih ada waktu"))))</f>
        <v>Segera: maksimal 7 hari</v>
      </c>
      <c r="M49" s="49" t="s">
        <v>1651</v>
      </c>
    </row>
    <row r="50" spans="1:13" ht="72.5" x14ac:dyDescent="0.35">
      <c r="A50" s="49" t="str">
        <f>IF(INDEX('01B_Findings_ID'!$G$5:$G$66,MATCH(B50,'01B_Findings_ID'!$A$5:$A$66,0))="Ya",IF(INDEX('01B_Findings_ID'!$F$5:$F$66,MATCH(B50,'01B_Findings_ID'!$A$5:$A$66,0))="Kritis","Sangat mendesak",IF(INDEX('01B_Findings_ID'!$F$5:$F$66,MATCH(B50,'01B_Findings_ID'!$A$5:$A$66,0))="Tinggi","Mendesak","Penting")),IF(INDEX('01B_Findings_ID'!$F$5:$F$66,MATCH(B50,'01B_Findings_ID'!$A$5:$A$66,0))="Kritis","Mendesak",IF(INDEX('01B_Findings_ID'!$F$5:$F$66,MATCH(B50,'01B_Findings_ID'!$A$5:$A$66,0))="Tinggi","Penting","Dapat dijadwalkan")))</f>
        <v>Penting</v>
      </c>
      <c r="B50" s="48" t="str">
        <f>'01B_Findings_ID'!A29</f>
        <v>QC-025</v>
      </c>
      <c r="C50" s="49" t="str">
        <f>'01B_Findings_ID'!C29</f>
        <v>Treasury</v>
      </c>
      <c r="D50" s="49" t="str">
        <f>'01B_Findings_ID'!H29</f>
        <v>Aksi FX menyatakan eksposur turun menjadi sebesar nilai hedge</v>
      </c>
      <c r="E50" s="49" t="str">
        <f>'01B_Findings_ID'!J29</f>
        <v>'Eksposur tanpa lindung nilai: USD 1,3 juta -&gt; USD 0' atau 'Coverage: 61% -&gt; 100%'.</v>
      </c>
      <c r="F50" s="49" t="str">
        <f>'01B_Findings_ID'!L29</f>
        <v>Backend / logika agent</v>
      </c>
      <c r="G50" s="55" t="str">
        <f>'01B_Findings_ID'!M29</f>
        <v>2026-08-04</v>
      </c>
      <c r="H50" s="49" t="str">
        <f>IF(INDEX('01B_Findings_ID'!$N$5:$N$66,MATCH(B50,'01B_Findings_ID'!$A$5:$A$66,0))="Terbuka","Belum selesai",INDEX('01B_Findings_ID'!$N$5:$N$66,MATCH(B50,'01B_Findings_ID'!$A$5:$A$66,0)))</f>
        <v>Belum selesai</v>
      </c>
      <c r="I50" s="49" t="s">
        <v>1592</v>
      </c>
      <c r="J50" s="49" t="s">
        <v>1593</v>
      </c>
      <c r="K50" s="54" t="s">
        <v>1503</v>
      </c>
      <c r="L50" s="54" t="str">
        <f>IF(H50&lt;&gt;"Belum selesai","Sudah ditutup",IF(IFERROR(DATEVALUE(G50),G50)&lt;DATE(2026,7,30),"Lewat target",IF(IFERROR(DATEVALUE(G50),G50)=DATE(2026,7,30),"Jatuh tempo hari ini",IF(IFERROR(DATEVALUE(G50),G50)&lt;=DATE(2026,8,6),"Segera: maksimal 7 hari","Masih ada waktu"))))</f>
        <v>Segera: maksimal 7 hari</v>
      </c>
      <c r="M50" s="49" t="s">
        <v>1665</v>
      </c>
    </row>
    <row r="51" spans="1:13" ht="87" x14ac:dyDescent="0.35">
      <c r="A51" s="49" t="str">
        <f>IF(INDEX('01B_Findings_ID'!$G$5:$G$66,MATCH(B51,'01B_Findings_ID'!$A$5:$A$66,0))="Ya",IF(INDEX('01B_Findings_ID'!$F$5:$F$66,MATCH(B51,'01B_Findings_ID'!$A$5:$A$66,0))="Kritis","Sangat mendesak",IF(INDEX('01B_Findings_ID'!$F$5:$F$66,MATCH(B51,'01B_Findings_ID'!$A$5:$A$66,0))="Tinggi","Mendesak","Penting")),IF(INDEX('01B_Findings_ID'!$F$5:$F$66,MATCH(B51,'01B_Findings_ID'!$A$5:$A$66,0))="Kritis","Mendesak",IF(INDEX('01B_Findings_ID'!$F$5:$F$66,MATCH(B51,'01B_Findings_ID'!$A$5:$A$66,0))="Tinggi","Penting","Dapat dijadwalkan")))</f>
        <v>Penting</v>
      </c>
      <c r="B51" s="48" t="str">
        <f>'01B_Findings_ID'!A57</f>
        <v>QC-053</v>
      </c>
      <c r="C51" s="49" t="str">
        <f>'01B_Findings_ID'!C57</f>
        <v>Semua agent</v>
      </c>
      <c r="D51" s="49" t="str">
        <f>'01B_Findings_ID'!H57</f>
        <v>Simulator tidak punya pemilih cakupan</v>
      </c>
      <c r="E51" s="49" t="str">
        <f>'01B_Findings_ID'!J57</f>
        <v>Ada kontrol cakupan, atau pernyataan jelas di layar bahwa tuas berlaku untuk seluruh buku.</v>
      </c>
      <c r="F51" s="49" t="str">
        <f>'01B_Findings_ID'!L57</f>
        <v>Backend + frontend</v>
      </c>
      <c r="G51" s="55" t="str">
        <f>'01B_Findings_ID'!M57</f>
        <v>2026-08-11</v>
      </c>
      <c r="H51" s="49" t="str">
        <f>IF(INDEX('01B_Findings_ID'!$N$5:$N$66,MATCH(B51,'01B_Findings_ID'!$A$5:$A$66,0))="Terbuka","Belum selesai",INDEX('01B_Findings_ID'!$N$5:$N$66,MATCH(B51,'01B_Findings_ID'!$A$5:$A$66,0)))</f>
        <v>Belum selesai</v>
      </c>
      <c r="I51" s="49" t="s">
        <v>1594</v>
      </c>
      <c r="J51" s="49" t="s">
        <v>1595</v>
      </c>
      <c r="K51" s="54" t="s">
        <v>1503</v>
      </c>
      <c r="L51" s="54" t="str">
        <f>IF(H51&lt;&gt;"Belum selesai","Sudah ditutup",IF(IFERROR(DATEVALUE(G51),G51)&lt;DATE(2026,7,30),"Lewat target",IF(IFERROR(DATEVALUE(G51),G51)=DATE(2026,7,30),"Jatuh tempo hari ini",IF(IFERROR(DATEVALUE(G51),G51)&lt;=DATE(2026,8,6),"Segera: maksimal 7 hari","Masih ada waktu"))))</f>
        <v>Masih ada waktu</v>
      </c>
      <c r="M51" s="49" t="s">
        <v>1655</v>
      </c>
    </row>
    <row r="52" spans="1:13" ht="116" x14ac:dyDescent="0.35">
      <c r="A52" s="49" t="str">
        <f>IF(INDEX('01B_Findings_ID'!$G$5:$G$66,MATCH(B52,'01B_Findings_ID'!$A$5:$A$66,0))="Ya",IF(INDEX('01B_Findings_ID'!$F$5:$F$66,MATCH(B52,'01B_Findings_ID'!$A$5:$A$66,0))="Kritis","Sangat mendesak",IF(INDEX('01B_Findings_ID'!$F$5:$F$66,MATCH(B52,'01B_Findings_ID'!$A$5:$A$66,0))="Tinggi","Mendesak","Penting")),IF(INDEX('01B_Findings_ID'!$F$5:$F$66,MATCH(B52,'01B_Findings_ID'!$A$5:$A$66,0))="Kritis","Mendesak",IF(INDEX('01B_Findings_ID'!$F$5:$F$66,MATCH(B52,'01B_Findings_ID'!$A$5:$A$66,0))="Tinggi","Penting","Dapat dijadwalkan")))</f>
        <v>Dapat dijadwalkan</v>
      </c>
      <c r="B52" s="48" t="str">
        <f>'01B_Findings_ID'!A17</f>
        <v>QC-013</v>
      </c>
      <c r="C52" s="49" t="str">
        <f>'01B_Findings_ID'!C17</f>
        <v>Leakage</v>
      </c>
      <c r="D52" s="49" t="str">
        <f>'01B_Findings_ID'!H17</f>
        <v>Batang berlabel 'Current 95%' tidak menunjukkan posisi saat ini</v>
      </c>
      <c r="E52" s="49" t="str">
        <f>'01B_Findings_ID'!J17</f>
        <v>Batang 'Current' memakai set asumsi yang sama dengan KPI, sehingga bernilai 7.557,5. Alternatif lain, ganti namanya menjadi '95% untuk semua' supaya tidak lagi mengaku sebagai posisi saat ini.</v>
      </c>
      <c r="F52" s="49" t="str">
        <f>'01B_Findings_ID'!L17</f>
        <v>Backend / logika agent</v>
      </c>
      <c r="G52" s="55" t="str">
        <f>'01B_Findings_ID'!M17</f>
        <v>2026-08-11</v>
      </c>
      <c r="H52" s="49" t="str">
        <f>IF(INDEX('01B_Findings_ID'!$N$5:$N$66,MATCH(B52,'01B_Findings_ID'!$A$5:$A$66,0))="Terbuka","Belum selesai",INDEX('01B_Findings_ID'!$N$5:$N$66,MATCH(B52,'01B_Findings_ID'!$A$5:$A$66,0)))</f>
        <v>Belum selesai</v>
      </c>
      <c r="I52" s="49" t="s">
        <v>1596</v>
      </c>
      <c r="J52" s="49" t="s">
        <v>1597</v>
      </c>
      <c r="K52" s="54" t="s">
        <v>1503</v>
      </c>
      <c r="L52" s="54" t="str">
        <f>IF(H52&lt;&gt;"Belum selesai","Sudah ditutup",IF(IFERROR(DATEVALUE(G52),G52)&lt;DATE(2026,7,30),"Lewat target",IF(IFERROR(DATEVALUE(G52),G52)=DATE(2026,7,30),"Jatuh tempo hari ini",IF(IFERROR(DATEVALUE(G52),G52)&lt;=DATE(2026,8,6),"Segera: maksimal 7 hari","Masih ada waktu"))))</f>
        <v>Masih ada waktu</v>
      </c>
      <c r="M52" s="49" t="s">
        <v>1664</v>
      </c>
    </row>
    <row r="53" spans="1:13" ht="87" x14ac:dyDescent="0.35">
      <c r="A53" s="49" t="str">
        <f>IF(INDEX('01B_Findings_ID'!$G$5:$G$66,MATCH(B53,'01B_Findings_ID'!$A$5:$A$66,0))="Ya",IF(INDEX('01B_Findings_ID'!$F$5:$F$66,MATCH(B53,'01B_Findings_ID'!$A$5:$A$66,0))="Kritis","Sangat mendesak",IF(INDEX('01B_Findings_ID'!$F$5:$F$66,MATCH(B53,'01B_Findings_ID'!$A$5:$A$66,0))="Tinggi","Mendesak","Penting")),IF(INDEX('01B_Findings_ID'!$F$5:$F$66,MATCH(B53,'01B_Findings_ID'!$A$5:$A$66,0))="Kritis","Mendesak",IF(INDEX('01B_Findings_ID'!$F$5:$F$66,MATCH(B53,'01B_Findings_ID'!$A$5:$A$66,0))="Tinggi","Penting","Dapat dijadwalkan")))</f>
        <v>Dapat dijadwalkan</v>
      </c>
      <c r="B53" s="48" t="str">
        <f>'01B_Findings_ID'!A30</f>
        <v>QC-026</v>
      </c>
      <c r="C53" s="49" t="str">
        <f>'01B_Findings_ID'!C30</f>
        <v>Collection</v>
      </c>
      <c r="D53" s="49" t="str">
        <f>'01B_Findings_ID'!H30</f>
        <v>Tingkat recovery mengabaikan umur piutang</v>
      </c>
      <c r="E53" s="49" t="str">
        <f>'01B_Findings_ID'!J30</f>
        <v>Tingkat recovery seharusnya merupakan fungsi dari tier DAN bucket umur piutang.</v>
      </c>
      <c r="F53" s="49" t="str">
        <f>'01B_Findings_ID'!L30</f>
        <v>Backend / logika agent</v>
      </c>
      <c r="G53" s="55" t="str">
        <f>'01B_Findings_ID'!M30</f>
        <v>2026-08-11</v>
      </c>
      <c r="H53" s="49" t="str">
        <f>IF(INDEX('01B_Findings_ID'!$N$5:$N$66,MATCH(B53,'01B_Findings_ID'!$A$5:$A$66,0))="Terbuka","Belum selesai",INDEX('01B_Findings_ID'!$N$5:$N$66,MATCH(B53,'01B_Findings_ID'!$A$5:$A$66,0)))</f>
        <v>Belum selesai</v>
      </c>
      <c r="I53" s="49" t="s">
        <v>1598</v>
      </c>
      <c r="J53" s="49" t="s">
        <v>1599</v>
      </c>
      <c r="K53" s="54" t="s">
        <v>1503</v>
      </c>
      <c r="L53" s="54" t="str">
        <f>IF(H53&lt;&gt;"Belum selesai","Sudah ditutup",IF(IFERROR(DATEVALUE(G53),G53)&lt;DATE(2026,7,30),"Lewat target",IF(IFERROR(DATEVALUE(G53),G53)=DATE(2026,7,30),"Jatuh tempo hari ini",IF(IFERROR(DATEVALUE(G53),G53)&lt;=DATE(2026,8,6),"Segera: maksimal 7 hari","Masih ada waktu"))))</f>
        <v>Masih ada waktu</v>
      </c>
      <c r="M53" s="49" t="s">
        <v>1666</v>
      </c>
    </row>
    <row r="54" spans="1:13" ht="72.5" x14ac:dyDescent="0.35">
      <c r="A54" s="49" t="str">
        <f>IF(INDEX('01B_Findings_ID'!$G$5:$G$66,MATCH(B54,'01B_Findings_ID'!$A$5:$A$66,0))="Ya",IF(INDEX('01B_Findings_ID'!$F$5:$F$66,MATCH(B54,'01B_Findings_ID'!$A$5:$A$66,0))="Kritis","Sangat mendesak",IF(INDEX('01B_Findings_ID'!$F$5:$F$66,MATCH(B54,'01B_Findings_ID'!$A$5:$A$66,0))="Tinggi","Mendesak","Penting")),IF(INDEX('01B_Findings_ID'!$F$5:$F$66,MATCH(B54,'01B_Findings_ID'!$A$5:$A$66,0))="Kritis","Mendesak",IF(INDEX('01B_Findings_ID'!$F$5:$F$66,MATCH(B54,'01B_Findings_ID'!$A$5:$A$66,0))="Tinggi","Penting","Dapat dijadwalkan")))</f>
        <v>Dapat dijadwalkan</v>
      </c>
      <c r="B54" s="48" t="str">
        <f>'01B_Findings_ID'!A31</f>
        <v>QC-027</v>
      </c>
      <c r="C54" s="49" t="str">
        <f>'01B_Findings_ID'!C31</f>
        <v>Finance</v>
      </c>
      <c r="D54" s="49" t="str">
        <f>'01B_Findings_ID'!H31</f>
        <v>Satu persentase margin dibulatkan ke bawah, yang lain dibulatkan normal</v>
      </c>
      <c r="E54" s="49" t="str">
        <f>'01B_Findings_ID'!J31</f>
        <v>Pembulatan konsisten, half up.</v>
      </c>
      <c r="F54" s="49" t="str">
        <f>'01B_Findings_ID'!L31</f>
        <v>Frontend</v>
      </c>
      <c r="G54" s="55" t="str">
        <f>'01B_Findings_ID'!M31</f>
        <v>2026-08-11</v>
      </c>
      <c r="H54" s="49" t="str">
        <f>IF(INDEX('01B_Findings_ID'!$N$5:$N$66,MATCH(B54,'01B_Findings_ID'!$A$5:$A$66,0))="Terbuka","Belum selesai",INDEX('01B_Findings_ID'!$N$5:$N$66,MATCH(B54,'01B_Findings_ID'!$A$5:$A$66,0)))</f>
        <v>Belum selesai</v>
      </c>
      <c r="I54" s="49" t="s">
        <v>1600</v>
      </c>
      <c r="J54" s="49" t="s">
        <v>1601</v>
      </c>
      <c r="K54" s="54" t="s">
        <v>1503</v>
      </c>
      <c r="L54" s="54" t="str">
        <f>IF(H54&lt;&gt;"Belum selesai","Sudah ditutup",IF(IFERROR(DATEVALUE(G54),G54)&lt;DATE(2026,7,30),"Lewat target",IF(IFERROR(DATEVALUE(G54),G54)=DATE(2026,7,30),"Jatuh tempo hari ini",IF(IFERROR(DATEVALUE(G54),G54)&lt;=DATE(2026,8,6),"Segera: maksimal 7 hari","Masih ada waktu"))))</f>
        <v>Masih ada waktu</v>
      </c>
      <c r="M54" s="49" t="s">
        <v>1655</v>
      </c>
    </row>
    <row r="55" spans="1:13" ht="87" x14ac:dyDescent="0.35">
      <c r="A55" s="49" t="str">
        <f>IF(INDEX('01B_Findings_ID'!$G$5:$G$66,MATCH(B55,'01B_Findings_ID'!$A$5:$A$66,0))="Ya",IF(INDEX('01B_Findings_ID'!$F$5:$F$66,MATCH(B55,'01B_Findings_ID'!$A$5:$A$66,0))="Kritis","Sangat mendesak",IF(INDEX('01B_Findings_ID'!$F$5:$F$66,MATCH(B55,'01B_Findings_ID'!$A$5:$A$66,0))="Tinggi","Mendesak","Penting")),IF(INDEX('01B_Findings_ID'!$F$5:$F$66,MATCH(B55,'01B_Findings_ID'!$A$5:$A$66,0))="Kritis","Mendesak",IF(INDEX('01B_Findings_ID'!$F$5:$F$66,MATCH(B55,'01B_Findings_ID'!$A$5:$A$66,0))="Tinggi","Penting","Dapat dijadwalkan")))</f>
        <v>Dapat dijadwalkan</v>
      </c>
      <c r="B55" s="48" t="str">
        <f>'01B_Findings_ID'!A32</f>
        <v>QC-028</v>
      </c>
      <c r="C55" s="49" t="str">
        <f>'01B_Findings_ID'!C32</f>
        <v>Collection</v>
      </c>
      <c r="D55" s="49" t="str">
        <f>'01B_Findings_ID'!H32</f>
        <v>Gauge DSO menampilkan progres 120% pada metrik yang justru lebih baik bila rendah</v>
      </c>
      <c r="E55" s="49" t="str">
        <f>'01B_Findings_ID'!J32</f>
        <v>Balik arah gauge, atau tampilkan selisih hari terhadap target, bukan persentase progres.</v>
      </c>
      <c r="F55" s="49" t="str">
        <f>'01B_Findings_ID'!L32</f>
        <v>Frontend</v>
      </c>
      <c r="G55" s="55" t="str">
        <f>'01B_Findings_ID'!M32</f>
        <v>2026-08-11</v>
      </c>
      <c r="H55" s="49" t="str">
        <f>IF(INDEX('01B_Findings_ID'!$N$5:$N$66,MATCH(B55,'01B_Findings_ID'!$A$5:$A$66,0))="Terbuka","Belum selesai",INDEX('01B_Findings_ID'!$N$5:$N$66,MATCH(B55,'01B_Findings_ID'!$A$5:$A$66,0)))</f>
        <v>Belum selesai</v>
      </c>
      <c r="I55" s="49" t="s">
        <v>1602</v>
      </c>
      <c r="J55" s="49" t="s">
        <v>1603</v>
      </c>
      <c r="K55" s="54" t="s">
        <v>1503</v>
      </c>
      <c r="L55" s="54" t="str">
        <f>IF(H55&lt;&gt;"Belum selesai","Sudah ditutup",IF(IFERROR(DATEVALUE(G55),G55)&lt;DATE(2026,7,30),"Lewat target",IF(IFERROR(DATEVALUE(G55),G55)=DATE(2026,7,30),"Jatuh tempo hari ini",IF(IFERROR(DATEVALUE(G55),G55)&lt;=DATE(2026,8,6),"Segera: maksimal 7 hari","Masih ada waktu"))))</f>
        <v>Masih ada waktu</v>
      </c>
      <c r="M55" s="49" t="s">
        <v>1655</v>
      </c>
    </row>
    <row r="56" spans="1:13" ht="58" x14ac:dyDescent="0.35">
      <c r="A56" s="49" t="str">
        <f>IF(INDEX('01B_Findings_ID'!$G$5:$G$66,MATCH(B56,'01B_Findings_ID'!$A$5:$A$66,0))="Ya",IF(INDEX('01B_Findings_ID'!$F$5:$F$66,MATCH(B56,'01B_Findings_ID'!$A$5:$A$66,0))="Kritis","Sangat mendesak",IF(INDEX('01B_Findings_ID'!$F$5:$F$66,MATCH(B56,'01B_Findings_ID'!$A$5:$A$66,0))="Tinggi","Mendesak","Penting")),IF(INDEX('01B_Findings_ID'!$F$5:$F$66,MATCH(B56,'01B_Findings_ID'!$A$5:$A$66,0))="Kritis","Mendesak",IF(INDEX('01B_Findings_ID'!$F$5:$F$66,MATCH(B56,'01B_Findings_ID'!$A$5:$A$66,0))="Tinggi","Penting","Dapat dijadwalkan")))</f>
        <v>Dapat dijadwalkan</v>
      </c>
      <c r="B56" s="48" t="str">
        <f>'01B_Findings_ID'!A33</f>
        <v>QC-029</v>
      </c>
      <c r="C56" s="49" t="str">
        <f>'01B_Findings_ID'!C33</f>
        <v>Treasury</v>
      </c>
      <c r="D56" s="49" t="str">
        <f>'01B_Findings_ID'!H33</f>
        <v>Format angka tidak konsisten dalam satu baris KPI</v>
      </c>
      <c r="E56" s="49" t="str">
        <f>'01B_Findings_ID'!J33</f>
        <v>Satu format per satuan di seluruh aplikasi.</v>
      </c>
      <c r="F56" s="49" t="str">
        <f>'01B_Findings_ID'!L33</f>
        <v>Frontend</v>
      </c>
      <c r="G56" s="55" t="str">
        <f>'01B_Findings_ID'!M33</f>
        <v>2026-08-11</v>
      </c>
      <c r="H56" s="49" t="str">
        <f>IF(INDEX('01B_Findings_ID'!$N$5:$N$66,MATCH(B56,'01B_Findings_ID'!$A$5:$A$66,0))="Terbuka","Belum selesai",INDEX('01B_Findings_ID'!$N$5:$N$66,MATCH(B56,'01B_Findings_ID'!$A$5:$A$66,0)))</f>
        <v>Belum selesai</v>
      </c>
      <c r="I56" s="49" t="s">
        <v>1604</v>
      </c>
      <c r="J56" s="49" t="s">
        <v>1605</v>
      </c>
      <c r="K56" s="54" t="s">
        <v>1503</v>
      </c>
      <c r="L56" s="54" t="str">
        <f>IF(H56&lt;&gt;"Belum selesai","Sudah ditutup",IF(IFERROR(DATEVALUE(G56),G56)&lt;DATE(2026,7,30),"Lewat target",IF(IFERROR(DATEVALUE(G56),G56)=DATE(2026,7,30),"Jatuh tempo hari ini",IF(IFERROR(DATEVALUE(G56),G56)&lt;=DATE(2026,8,6),"Segera: maksimal 7 hari","Masih ada waktu"))))</f>
        <v>Masih ada waktu</v>
      </c>
      <c r="M56" s="49" t="s">
        <v>1655</v>
      </c>
    </row>
    <row r="57" spans="1:13" ht="72.5" x14ac:dyDescent="0.35">
      <c r="A57" s="49" t="str">
        <f>IF(INDEX('01B_Findings_ID'!$G$5:$G$66,MATCH(B57,'01B_Findings_ID'!$A$5:$A$66,0))="Ya",IF(INDEX('01B_Findings_ID'!$F$5:$F$66,MATCH(B57,'01B_Findings_ID'!$A$5:$A$66,0))="Kritis","Sangat mendesak",IF(INDEX('01B_Findings_ID'!$F$5:$F$66,MATCH(B57,'01B_Findings_ID'!$A$5:$A$66,0))="Tinggi","Mendesak","Penting")),IF(INDEX('01B_Findings_ID'!$F$5:$F$66,MATCH(B57,'01B_Findings_ID'!$A$5:$A$66,0))="Kritis","Mendesak",IF(INDEX('01B_Findings_ID'!$F$5:$F$66,MATCH(B57,'01B_Findings_ID'!$A$5:$A$66,0))="Tinggi","Penting","Dapat dijadwalkan")))</f>
        <v>Dapat dijadwalkan</v>
      </c>
      <c r="B57" s="48" t="str">
        <f>'01B_Findings_ID'!A34</f>
        <v>QC-030</v>
      </c>
      <c r="C57" s="49" t="str">
        <f>'01B_Findings_ID'!C34</f>
        <v>Collection</v>
      </c>
      <c r="D57" s="49" t="str">
        <f>'01B_Findings_ID'!H34</f>
        <v>Aksi memberi label saldo dua pelanggan sebagai total piutang overdue</v>
      </c>
      <c r="E57" s="49" t="str">
        <f>'01B_Findings_ID'!J34</f>
        <v>'Top-2 overdue: 16.500 -&gt; 13.500'.</v>
      </c>
      <c r="F57" s="49" t="str">
        <f>'01B_Findings_ID'!L34</f>
        <v>Backend / logika agent</v>
      </c>
      <c r="G57" s="55" t="str">
        <f>'01B_Findings_ID'!M34</f>
        <v>2026-08-11</v>
      </c>
      <c r="H57" s="49" t="str">
        <f>IF(INDEX('01B_Findings_ID'!$N$5:$N$66,MATCH(B57,'01B_Findings_ID'!$A$5:$A$66,0))="Terbuka","Belum selesai",INDEX('01B_Findings_ID'!$N$5:$N$66,MATCH(B57,'01B_Findings_ID'!$A$5:$A$66,0)))</f>
        <v>Belum selesai</v>
      </c>
      <c r="I57" s="49" t="s">
        <v>1606</v>
      </c>
      <c r="J57" s="49" t="s">
        <v>1607</v>
      </c>
      <c r="K57" s="54" t="s">
        <v>1503</v>
      </c>
      <c r="L57" s="54" t="str">
        <f>IF(H57&lt;&gt;"Belum selesai","Sudah ditutup",IF(IFERROR(DATEVALUE(G57),G57)&lt;DATE(2026,7,30),"Lewat target",IF(IFERROR(DATEVALUE(G57),G57)=DATE(2026,7,30),"Jatuh tempo hari ini",IF(IFERROR(DATEVALUE(G57),G57)&lt;=DATE(2026,8,6),"Segera: maksimal 7 hari","Masih ada waktu"))))</f>
        <v>Masih ada waktu</v>
      </c>
      <c r="M57" s="49" t="s">
        <v>1664</v>
      </c>
    </row>
    <row r="58" spans="1:13" ht="72.5" x14ac:dyDescent="0.35">
      <c r="A58" s="49" t="str">
        <f>IF(INDEX('01B_Findings_ID'!$G$5:$G$66,MATCH(B58,'01B_Findings_ID'!$A$5:$A$66,0))="Ya",IF(INDEX('01B_Findings_ID'!$F$5:$F$66,MATCH(B58,'01B_Findings_ID'!$A$5:$A$66,0))="Kritis","Sangat mendesak",IF(INDEX('01B_Findings_ID'!$F$5:$F$66,MATCH(B58,'01B_Findings_ID'!$A$5:$A$66,0))="Tinggi","Mendesak","Penting")),IF(INDEX('01B_Findings_ID'!$F$5:$F$66,MATCH(B58,'01B_Findings_ID'!$A$5:$A$66,0))="Kritis","Mendesak",IF(INDEX('01B_Findings_ID'!$F$5:$F$66,MATCH(B58,'01B_Findings_ID'!$A$5:$A$66,0))="Tinggi","Penting","Dapat dijadwalkan")))</f>
        <v>Dapat dijadwalkan</v>
      </c>
      <c r="B58" s="48" t="str">
        <f>'01B_Findings_ID'!A35</f>
        <v>QC-031</v>
      </c>
      <c r="C58" s="49" t="str">
        <f>'01B_Findings_ID'!C35</f>
        <v>Leakage</v>
      </c>
      <c r="D58" s="49" t="str">
        <f>'01B_Findings_ID'!H35</f>
        <v>Aksi memakai angka setahun sementara dashboard menampilkan angka per siklus</v>
      </c>
      <c r="E58" s="49" t="str">
        <f>'01B_Findings_ID'!J35</f>
        <v>Cantumkan basisnya di kartu: 'Discount leakage (disetahunkan)'.</v>
      </c>
      <c r="F58" s="49" t="str">
        <f>'01B_Findings_ID'!L35</f>
        <v>Backend / logika agent</v>
      </c>
      <c r="G58" s="55" t="str">
        <f>'01B_Findings_ID'!M35</f>
        <v>2026-08-11</v>
      </c>
      <c r="H58" s="49" t="str">
        <f>IF(INDEX('01B_Findings_ID'!$N$5:$N$66,MATCH(B58,'01B_Findings_ID'!$A$5:$A$66,0))="Terbuka","Belum selesai",INDEX('01B_Findings_ID'!$N$5:$N$66,MATCH(B58,'01B_Findings_ID'!$A$5:$A$66,0)))</f>
        <v>Belum selesai</v>
      </c>
      <c r="I58" s="49" t="s">
        <v>1608</v>
      </c>
      <c r="J58" s="49" t="s">
        <v>1609</v>
      </c>
      <c r="K58" s="54" t="s">
        <v>1503</v>
      </c>
      <c r="L58" s="54" t="str">
        <f>IF(H58&lt;&gt;"Belum selesai","Sudah ditutup",IF(IFERROR(DATEVALUE(G58),G58)&lt;DATE(2026,7,30),"Lewat target",IF(IFERROR(DATEVALUE(G58),G58)=DATE(2026,7,30),"Jatuh tempo hari ini",IF(IFERROR(DATEVALUE(G58),G58)&lt;=DATE(2026,8,6),"Segera: maksimal 7 hari","Masih ada waktu"))))</f>
        <v>Masih ada waktu</v>
      </c>
      <c r="M58" s="49" t="s">
        <v>1653</v>
      </c>
    </row>
    <row r="59" spans="1:13" ht="72.5" x14ac:dyDescent="0.35">
      <c r="A59" s="49" t="str">
        <f>IF(INDEX('01B_Findings_ID'!$G$5:$G$66,MATCH(B59,'01B_Findings_ID'!$A$5:$A$66,0))="Ya",IF(INDEX('01B_Findings_ID'!$F$5:$F$66,MATCH(B59,'01B_Findings_ID'!$A$5:$A$66,0))="Kritis","Sangat mendesak",IF(INDEX('01B_Findings_ID'!$F$5:$F$66,MATCH(B59,'01B_Findings_ID'!$A$5:$A$66,0))="Tinggi","Mendesak","Penting")),IF(INDEX('01B_Findings_ID'!$F$5:$F$66,MATCH(B59,'01B_Findings_ID'!$A$5:$A$66,0))="Kritis","Mendesak",IF(INDEX('01B_Findings_ID'!$F$5:$F$66,MATCH(B59,'01B_Findings_ID'!$A$5:$A$66,0))="Tinggi","Penting","Dapat dijadwalkan")))</f>
        <v>Dapat dijadwalkan</v>
      </c>
      <c r="B59" s="48" t="str">
        <f>'01B_Findings_ID'!A36</f>
        <v>QC-032</v>
      </c>
      <c r="C59" s="49" t="str">
        <f>'01B_Findings_ID'!C36</f>
        <v>Leakage</v>
      </c>
      <c r="D59" s="49" t="str">
        <f>'01B_Findings_ID'!H36</f>
        <v>Angka 900 mn yang sama muncul dengan tiga nama berbeda</v>
      </c>
      <c r="E59" s="49" t="str">
        <f>'01B_Findings_ID'!J36</f>
        <v>Satu nama, dengan rincian pemecahannya di bawahnya.</v>
      </c>
      <c r="F59" s="49" t="str">
        <f>'01B_Findings_ID'!L36</f>
        <v>Backend / logika agent</v>
      </c>
      <c r="G59" s="55" t="str">
        <f>'01B_Findings_ID'!M36</f>
        <v>2026-08-11</v>
      </c>
      <c r="H59" s="49" t="str">
        <f>IF(INDEX('01B_Findings_ID'!$N$5:$N$66,MATCH(B59,'01B_Findings_ID'!$A$5:$A$66,0))="Terbuka","Belum selesai",INDEX('01B_Findings_ID'!$N$5:$N$66,MATCH(B59,'01B_Findings_ID'!$A$5:$A$66,0)))</f>
        <v>Belum selesai</v>
      </c>
      <c r="I59" s="49" t="s">
        <v>1610</v>
      </c>
      <c r="J59" s="49" t="s">
        <v>1611</v>
      </c>
      <c r="K59" s="54" t="s">
        <v>1503</v>
      </c>
      <c r="L59" s="54" t="str">
        <f>IF(H59&lt;&gt;"Belum selesai","Sudah ditutup",IF(IFERROR(DATEVALUE(G59),G59)&lt;DATE(2026,7,30),"Lewat target",IF(IFERROR(DATEVALUE(G59),G59)=DATE(2026,7,30),"Jatuh tempo hari ini",IF(IFERROR(DATEVALUE(G59),G59)&lt;=DATE(2026,8,6),"Segera: maksimal 7 hari","Masih ada waktu"))))</f>
        <v>Masih ada waktu</v>
      </c>
      <c r="M59" s="49" t="s">
        <v>1655</v>
      </c>
    </row>
    <row r="60" spans="1:13" ht="72.5" x14ac:dyDescent="0.35">
      <c r="A60" s="49" t="str">
        <f>IF(INDEX('01B_Findings_ID'!$G$5:$G$66,MATCH(B60,'01B_Findings_ID'!$A$5:$A$66,0))="Ya",IF(INDEX('01B_Findings_ID'!$F$5:$F$66,MATCH(B60,'01B_Findings_ID'!$A$5:$A$66,0))="Kritis","Sangat mendesak",IF(INDEX('01B_Findings_ID'!$F$5:$F$66,MATCH(B60,'01B_Findings_ID'!$A$5:$A$66,0))="Tinggi","Mendesak","Penting")),IF(INDEX('01B_Findings_ID'!$F$5:$F$66,MATCH(B60,'01B_Findings_ID'!$A$5:$A$66,0))="Kritis","Mendesak",IF(INDEX('01B_Findings_ID'!$F$5:$F$66,MATCH(B60,'01B_Findings_ID'!$A$5:$A$66,0))="Tinggi","Penting","Dapat dijadwalkan")))</f>
        <v>Dapat dijadwalkan</v>
      </c>
      <c r="B60" s="48" t="str">
        <f>'01B_Findings_ID'!A37</f>
        <v>QC-033</v>
      </c>
      <c r="C60" s="49" t="str">
        <f>'01B_Findings_ID'!C37</f>
        <v>Collection</v>
      </c>
      <c r="D60" s="49" t="str">
        <f>'01B_Findings_ID'!H37</f>
        <v>Dua grafik di layar yang sama mengurutkan pasangan data ke arah berlawanan</v>
      </c>
      <c r="E60" s="49" t="str">
        <f>'01B_Findings_ID'!J37</f>
        <v>Satu urutan saja.</v>
      </c>
      <c r="F60" s="49" t="str">
        <f>'01B_Findings_ID'!L37</f>
        <v>Frontend</v>
      </c>
      <c r="G60" s="55" t="str">
        <f>'01B_Findings_ID'!M37</f>
        <v>2026-08-11</v>
      </c>
      <c r="H60" s="49" t="str">
        <f>IF(INDEX('01B_Findings_ID'!$N$5:$N$66,MATCH(B60,'01B_Findings_ID'!$A$5:$A$66,0))="Terbuka","Belum selesai",INDEX('01B_Findings_ID'!$N$5:$N$66,MATCH(B60,'01B_Findings_ID'!$A$5:$A$66,0)))</f>
        <v>Belum selesai</v>
      </c>
      <c r="I60" s="49" t="s">
        <v>1612</v>
      </c>
      <c r="J60" s="49" t="s">
        <v>1613</v>
      </c>
      <c r="K60" s="54" t="s">
        <v>1503</v>
      </c>
      <c r="L60" s="54" t="str">
        <f>IF(H60&lt;&gt;"Belum selesai","Sudah ditutup",IF(IFERROR(DATEVALUE(G60),G60)&lt;DATE(2026,7,30),"Lewat target",IF(IFERROR(DATEVALUE(G60),G60)=DATE(2026,7,30),"Jatuh tempo hari ini",IF(IFERROR(DATEVALUE(G60),G60)&lt;=DATE(2026,8,6),"Segera: maksimal 7 hari","Masih ada waktu"))))</f>
        <v>Masih ada waktu</v>
      </c>
      <c r="M60" s="49" t="s">
        <v>1642</v>
      </c>
    </row>
    <row r="61" spans="1:13" ht="72.5" x14ac:dyDescent="0.35">
      <c r="A61" s="49" t="str">
        <f>IF(INDEX('01B_Findings_ID'!$G$5:$G$66,MATCH(B61,'01B_Findings_ID'!$A$5:$A$66,0))="Ya",IF(INDEX('01B_Findings_ID'!$F$5:$F$66,MATCH(B61,'01B_Findings_ID'!$A$5:$A$66,0))="Kritis","Sangat mendesak",IF(INDEX('01B_Findings_ID'!$F$5:$F$66,MATCH(B61,'01B_Findings_ID'!$A$5:$A$66,0))="Tinggi","Mendesak","Penting")),IF(INDEX('01B_Findings_ID'!$F$5:$F$66,MATCH(B61,'01B_Findings_ID'!$A$5:$A$66,0))="Kritis","Mendesak",IF(INDEX('01B_Findings_ID'!$F$5:$F$66,MATCH(B61,'01B_Findings_ID'!$A$5:$A$66,0))="Tinggi","Penting","Dapat dijadwalkan")))</f>
        <v>Dapat dijadwalkan</v>
      </c>
      <c r="B61" s="48" t="str">
        <f>'01B_Findings_ID'!A38</f>
        <v>QC-034</v>
      </c>
      <c r="C61" s="49" t="str">
        <f>'01B_Findings_ID'!C38</f>
        <v>Treasury</v>
      </c>
      <c r="D61" s="49" t="str">
        <f>'01B_Findings_ID'!H38</f>
        <v>Batang bernilai nol di sebelah batang bernilai terbaca seperti gagal render</v>
      </c>
      <c r="E61" s="49" t="str">
        <f>'01B_Findings_ID'!J38</f>
        <v>Tampilkan satu nilai dengan garis acuan, atau beri label eksplisit pada batang nol.</v>
      </c>
      <c r="F61" s="49" t="str">
        <f>'01B_Findings_ID'!L38</f>
        <v>Frontend</v>
      </c>
      <c r="G61" s="55" t="str">
        <f>'01B_Findings_ID'!M38</f>
        <v>2026-08-11</v>
      </c>
      <c r="H61" s="49" t="str">
        <f>IF(INDEX('01B_Findings_ID'!$N$5:$N$66,MATCH(B61,'01B_Findings_ID'!$A$5:$A$66,0))="Terbuka","Belum selesai",INDEX('01B_Findings_ID'!$N$5:$N$66,MATCH(B61,'01B_Findings_ID'!$A$5:$A$66,0)))</f>
        <v>Belum selesai</v>
      </c>
      <c r="I61" s="49" t="s">
        <v>1614</v>
      </c>
      <c r="J61" s="49" t="s">
        <v>1615</v>
      </c>
      <c r="K61" s="54" t="s">
        <v>1503</v>
      </c>
      <c r="L61" s="54" t="str">
        <f>IF(H61&lt;&gt;"Belum selesai","Sudah ditutup",IF(IFERROR(DATEVALUE(G61),G61)&lt;DATE(2026,7,30),"Lewat target",IF(IFERROR(DATEVALUE(G61),G61)=DATE(2026,7,30),"Jatuh tempo hari ini",IF(IFERROR(DATEVALUE(G61),G61)&lt;=DATE(2026,8,6),"Segera: maksimal 7 hari","Masih ada waktu"))))</f>
        <v>Masih ada waktu</v>
      </c>
      <c r="M61" s="49" t="s">
        <v>1664</v>
      </c>
    </row>
    <row r="62" spans="1:13" ht="72.5" x14ac:dyDescent="0.35">
      <c r="A62" s="49" t="str">
        <f>IF(INDEX('01B_Findings_ID'!$G$5:$G$66,MATCH(B62,'01B_Findings_ID'!$A$5:$A$66,0))="Ya",IF(INDEX('01B_Findings_ID'!$F$5:$F$66,MATCH(B62,'01B_Findings_ID'!$A$5:$A$66,0))="Kritis","Sangat mendesak",IF(INDEX('01B_Findings_ID'!$F$5:$F$66,MATCH(B62,'01B_Findings_ID'!$A$5:$A$66,0))="Tinggi","Mendesak","Penting")),IF(INDEX('01B_Findings_ID'!$F$5:$F$66,MATCH(B62,'01B_Findings_ID'!$A$5:$A$66,0))="Kritis","Mendesak",IF(INDEX('01B_Findings_ID'!$F$5:$F$66,MATCH(B62,'01B_Findings_ID'!$A$5:$A$66,0))="Tinggi","Penting","Dapat dijadwalkan")))</f>
        <v>Dapat dijadwalkan</v>
      </c>
      <c r="B62" s="48" t="str">
        <f>'01B_Findings_ID'!A40</f>
        <v>QC-036</v>
      </c>
      <c r="C62" s="49" t="str">
        <f>'01B_Findings_ID'!C40</f>
        <v>Finance</v>
      </c>
      <c r="D62" s="49" t="str">
        <f>'01B_Findings_ID'!H40</f>
        <v>Grafik samping menduplikasi grafik utama persis</v>
      </c>
      <c r="E62" s="49" t="str">
        <f>'01B_Findings_ID'!J40</f>
        <v>Gunakan slot samping untuk sesuatu yang tidak ditampilkan tampilan utama.</v>
      </c>
      <c r="F62" s="49" t="str">
        <f>'01B_Findings_ID'!L40</f>
        <v>Frontend</v>
      </c>
      <c r="G62" s="55" t="str">
        <f>'01B_Findings_ID'!M40</f>
        <v>2026-08-11</v>
      </c>
      <c r="H62" s="49" t="str">
        <f>IF(INDEX('01B_Findings_ID'!$N$5:$N$66,MATCH(B62,'01B_Findings_ID'!$A$5:$A$66,0))="Terbuka","Belum selesai",INDEX('01B_Findings_ID'!$N$5:$N$66,MATCH(B62,'01B_Findings_ID'!$A$5:$A$66,0)))</f>
        <v>Belum selesai</v>
      </c>
      <c r="I62" s="49" t="s">
        <v>1616</v>
      </c>
      <c r="J62" s="49" t="s">
        <v>1617</v>
      </c>
      <c r="K62" s="54" t="s">
        <v>1503</v>
      </c>
      <c r="L62" s="54" t="str">
        <f>IF(H62&lt;&gt;"Belum selesai","Sudah ditutup",IF(IFERROR(DATEVALUE(G62),G62)&lt;DATE(2026,7,30),"Lewat target",IF(IFERROR(DATEVALUE(G62),G62)=DATE(2026,7,30),"Jatuh tempo hari ini",IF(IFERROR(DATEVALUE(G62),G62)&lt;=DATE(2026,8,6),"Segera: maksimal 7 hari","Masih ada waktu"))))</f>
        <v>Masih ada waktu</v>
      </c>
      <c r="M62" s="49" t="s">
        <v>1651</v>
      </c>
    </row>
    <row r="63" spans="1:13" ht="72.5" x14ac:dyDescent="0.35">
      <c r="A63" s="49" t="str">
        <f>IF(INDEX('01B_Findings_ID'!$G$5:$G$66,MATCH(B63,'01B_Findings_ID'!$A$5:$A$66,0))="Ya",IF(INDEX('01B_Findings_ID'!$F$5:$F$66,MATCH(B63,'01B_Findings_ID'!$A$5:$A$66,0))="Kritis","Sangat mendesak",IF(INDEX('01B_Findings_ID'!$F$5:$F$66,MATCH(B63,'01B_Findings_ID'!$A$5:$A$66,0))="Tinggi","Mendesak","Penting")),IF(INDEX('01B_Findings_ID'!$F$5:$F$66,MATCH(B63,'01B_Findings_ID'!$A$5:$A$66,0))="Kritis","Mendesak",IF(INDEX('01B_Findings_ID'!$F$5:$F$66,MATCH(B63,'01B_Findings_ID'!$A$5:$A$66,0))="Tinggi","Penting","Dapat dijadwalkan")))</f>
        <v>Dapat dijadwalkan</v>
      </c>
      <c r="B63" s="48" t="str">
        <f>'01B_Findings_ID'!A45</f>
        <v>QC-041</v>
      </c>
      <c r="C63" s="49" t="str">
        <f>'01B_Findings_ID'!C45</f>
        <v>Treasury</v>
      </c>
      <c r="D63" s="49" t="str">
        <f>'01B_Findings_ID'!H45</f>
        <v>Judul alert menyebut Minggu 5 tetapi datanya Minggu 6</v>
      </c>
      <c r="E63" s="49" t="str">
        <f>'01B_Findings_ID'!J45</f>
        <v>Judul harus cocok dengan minggu yang ada di buktinya.</v>
      </c>
      <c r="F63" s="49" t="str">
        <f>'01B_Findings_ID'!L45</f>
        <v>Backend / logika agent</v>
      </c>
      <c r="G63" s="55" t="str">
        <f>'01B_Findings_ID'!M45</f>
        <v>2026-08-11</v>
      </c>
      <c r="H63" s="49" t="str">
        <f>IF(INDEX('01B_Findings_ID'!$N$5:$N$66,MATCH(B63,'01B_Findings_ID'!$A$5:$A$66,0))="Terbuka","Belum selesai",INDEX('01B_Findings_ID'!$N$5:$N$66,MATCH(B63,'01B_Findings_ID'!$A$5:$A$66,0)))</f>
        <v>Belum selesai</v>
      </c>
      <c r="I63" s="49" t="s">
        <v>1618</v>
      </c>
      <c r="J63" s="49" t="s">
        <v>1619</v>
      </c>
      <c r="K63" s="54" t="s">
        <v>1503</v>
      </c>
      <c r="L63" s="54" t="str">
        <f>IF(H63&lt;&gt;"Belum selesai","Sudah ditutup",IF(IFERROR(DATEVALUE(G63),G63)&lt;DATE(2026,7,30),"Lewat target",IF(IFERROR(DATEVALUE(G63),G63)=DATE(2026,7,30),"Jatuh tempo hari ini",IF(IFERROR(DATEVALUE(G63),G63)&lt;=DATE(2026,8,6),"Segera: maksimal 7 hari","Masih ada waktu"))))</f>
        <v>Masih ada waktu</v>
      </c>
      <c r="M63" s="49" t="s">
        <v>1639</v>
      </c>
    </row>
    <row r="64" spans="1:13" ht="87" x14ac:dyDescent="0.35">
      <c r="A64" s="49" t="str">
        <f>IF(INDEX('01B_Findings_ID'!$G$5:$G$66,MATCH(B64,'01B_Findings_ID'!$A$5:$A$66,0))="Ya",IF(INDEX('01B_Findings_ID'!$F$5:$F$66,MATCH(B64,'01B_Findings_ID'!$A$5:$A$66,0))="Kritis","Sangat mendesak",IF(INDEX('01B_Findings_ID'!$F$5:$F$66,MATCH(B64,'01B_Findings_ID'!$A$5:$A$66,0))="Tinggi","Mendesak","Penting")),IF(INDEX('01B_Findings_ID'!$F$5:$F$66,MATCH(B64,'01B_Findings_ID'!$A$5:$A$66,0))="Kritis","Mendesak",IF(INDEX('01B_Findings_ID'!$F$5:$F$66,MATCH(B64,'01B_Findings_ID'!$A$5:$A$66,0))="Tinggi","Penting","Dapat dijadwalkan")))</f>
        <v>Dapat dijadwalkan</v>
      </c>
      <c r="B64" s="48" t="str">
        <f>'01B_Findings_ID'!A50</f>
        <v>QC-046</v>
      </c>
      <c r="C64" s="49" t="str">
        <f>'01B_Findings_ID'!C50</f>
        <v>Leakage</v>
      </c>
      <c r="D64" s="49" t="str">
        <f>'01B_Findings_ID'!H50</f>
        <v>Skor risiko vendor mengabaikan nilai dan tingkat keparahan</v>
      </c>
      <c r="E64" s="49" t="str">
        <f>'01B_Findings_ID'!J50</f>
        <v>Skor ditimbang berdasarkan eksposur dan severity, sehingga kasus fraud berada di peringkat pertama.</v>
      </c>
      <c r="F64" s="49" t="str">
        <f>'01B_Findings_ID'!L50</f>
        <v>Backend / logika agent</v>
      </c>
      <c r="G64" s="55" t="str">
        <f>'01B_Findings_ID'!M50</f>
        <v>2026-08-11</v>
      </c>
      <c r="H64" s="49" t="str">
        <f>IF(INDEX('01B_Findings_ID'!$N$5:$N$66,MATCH(B64,'01B_Findings_ID'!$A$5:$A$66,0))="Terbuka","Belum selesai",INDEX('01B_Findings_ID'!$N$5:$N$66,MATCH(B64,'01B_Findings_ID'!$A$5:$A$66,0)))</f>
        <v>Belum selesai</v>
      </c>
      <c r="I64" s="49" t="s">
        <v>1620</v>
      </c>
      <c r="J64" s="49" t="s">
        <v>1621</v>
      </c>
      <c r="K64" s="54" t="s">
        <v>1503</v>
      </c>
      <c r="L64" s="54" t="str">
        <f>IF(H64&lt;&gt;"Belum selesai","Sudah ditutup",IF(IFERROR(DATEVALUE(G64),G64)&lt;DATE(2026,7,30),"Lewat target",IF(IFERROR(DATEVALUE(G64),G64)=DATE(2026,7,30),"Jatuh tempo hari ini",IF(IFERROR(DATEVALUE(G64),G64)&lt;=DATE(2026,8,6),"Segera: maksimal 7 hari","Masih ada waktu"))))</f>
        <v>Masih ada waktu</v>
      </c>
      <c r="M64" s="49" t="s">
        <v>1667</v>
      </c>
    </row>
    <row r="65" spans="1:13" ht="87" x14ac:dyDescent="0.35">
      <c r="A65" s="49" t="str">
        <f>IF(INDEX('01B_Findings_ID'!$G$5:$G$66,MATCH(B65,'01B_Findings_ID'!$A$5:$A$66,0))="Ya",IF(INDEX('01B_Findings_ID'!$F$5:$F$66,MATCH(B65,'01B_Findings_ID'!$A$5:$A$66,0))="Kritis","Sangat mendesak",IF(INDEX('01B_Findings_ID'!$F$5:$F$66,MATCH(B65,'01B_Findings_ID'!$A$5:$A$66,0))="Tinggi","Mendesak","Penting")),IF(INDEX('01B_Findings_ID'!$F$5:$F$66,MATCH(B65,'01B_Findings_ID'!$A$5:$A$66,0))="Kritis","Mendesak",IF(INDEX('01B_Findings_ID'!$F$5:$F$66,MATCH(B65,'01B_Findings_ID'!$A$5:$A$66,0))="Tinggi","Penting","Dapat dijadwalkan")))</f>
        <v>Dapat dijadwalkan</v>
      </c>
      <c r="B65" s="48" t="str">
        <f>'01B_Findings_ID'!A64</f>
        <v>QC-060</v>
      </c>
      <c r="C65" s="49" t="str">
        <f>'01B_Findings_ID'!C64</f>
        <v>Semua agent</v>
      </c>
      <c r="D65" s="49" t="str">
        <f>'01B_Findings_ID'!H64</f>
        <v>Tidak ada alur hitung dengan parameter sendiri</v>
      </c>
      <c r="E65" s="49" t="str">
        <f>'01B_Findings_ID'!J64</f>
        <v>Ada jalur dari asumsi yang diberikan CFO langsung menuju jawaban yang dihitung ulang dan diperlihatkan langkahnya.</v>
      </c>
      <c r="F65" s="49" t="str">
        <f>'01B_Findings_ID'!L64</f>
        <v>Backend + frontend</v>
      </c>
      <c r="G65" s="55" t="str">
        <f>'01B_Findings_ID'!M64</f>
        <v>2026-08-11</v>
      </c>
      <c r="H65" s="49" t="str">
        <f>IF(INDEX('01B_Findings_ID'!$N$5:$N$66,MATCH(B65,'01B_Findings_ID'!$A$5:$A$66,0))="Terbuka","Belum selesai",INDEX('01B_Findings_ID'!$N$5:$N$66,MATCH(B65,'01B_Findings_ID'!$A$5:$A$66,0)))</f>
        <v>Belum selesai</v>
      </c>
      <c r="I65" s="49" t="s">
        <v>1622</v>
      </c>
      <c r="J65" s="49" t="s">
        <v>1623</v>
      </c>
      <c r="K65" s="54" t="s">
        <v>1503</v>
      </c>
      <c r="L65" s="54" t="str">
        <f>IF(H65&lt;&gt;"Belum selesai","Sudah ditutup",IF(IFERROR(DATEVALUE(G65),G65)&lt;DATE(2026,7,30),"Lewat target",IF(IFERROR(DATEVALUE(G65),G65)=DATE(2026,7,30),"Jatuh tempo hari ini",IF(IFERROR(DATEVALUE(G65),G65)&lt;=DATE(2026,8,6),"Segera: maksimal 7 hari","Masih ada waktu"))))</f>
        <v>Masih ada waktu</v>
      </c>
      <c r="M65" s="49" t="s">
        <v>1668</v>
      </c>
    </row>
    <row r="66" spans="1:13" ht="87" x14ac:dyDescent="0.35">
      <c r="A66" s="49" t="str">
        <f>IF(INDEX('01B_Findings_ID'!$G$5:$G$66,MATCH(B66,'01B_Findings_ID'!$A$5:$A$66,0))="Ya",IF(INDEX('01B_Findings_ID'!$F$5:$F$66,MATCH(B66,'01B_Findings_ID'!$A$5:$A$66,0))="Kritis","Sangat mendesak",IF(INDEX('01B_Findings_ID'!$F$5:$F$66,MATCH(B66,'01B_Findings_ID'!$A$5:$A$66,0))="Tinggi","Mendesak","Penting")),IF(INDEX('01B_Findings_ID'!$F$5:$F$66,MATCH(B66,'01B_Findings_ID'!$A$5:$A$66,0))="Kritis","Mendesak",IF(INDEX('01B_Findings_ID'!$F$5:$F$66,MATCH(B66,'01B_Findings_ID'!$A$5:$A$66,0))="Tinggi","Penting","Dapat dijadwalkan")))</f>
        <v>Dapat dijadwalkan</v>
      </c>
      <c r="B66" s="48" t="str">
        <f>'01B_Findings_ID'!A65</f>
        <v>QC-061</v>
      </c>
      <c r="C66" s="49" t="str">
        <f>'01B_Findings_ID'!C65</f>
        <v>Semua agent</v>
      </c>
      <c r="D66" s="49" t="str">
        <f>'01B_Findings_ID'!H65</f>
        <v>Kartu next best action tidak ada di dashboard</v>
      </c>
      <c r="E66" s="49" t="str">
        <f>'01B_Findings_ID'!J65</f>
        <v>Ada satu atau dua next best action di dashboard itu sendiri, bersebelahan dengan buktinya.</v>
      </c>
      <c r="F66" s="49" t="str">
        <f>'01B_Findings_ID'!L65</f>
        <v>Frontend</v>
      </c>
      <c r="G66" s="55" t="str">
        <f>'01B_Findings_ID'!M65</f>
        <v>2026-08-11</v>
      </c>
      <c r="H66" s="49" t="str">
        <f>IF(INDEX('01B_Findings_ID'!$N$5:$N$66,MATCH(B66,'01B_Findings_ID'!$A$5:$A$66,0))="Terbuka","Belum selesai",INDEX('01B_Findings_ID'!$N$5:$N$66,MATCH(B66,'01B_Findings_ID'!$A$5:$A$66,0)))</f>
        <v>Belum selesai</v>
      </c>
      <c r="I66" s="49" t="s">
        <v>1624</v>
      </c>
      <c r="J66" s="49" t="s">
        <v>1625</v>
      </c>
      <c r="K66" s="54" t="s">
        <v>1503</v>
      </c>
      <c r="L66" s="54" t="str">
        <f>IF(H66&lt;&gt;"Belum selesai","Sudah ditutup",IF(IFERROR(DATEVALUE(G66),G66)&lt;DATE(2026,7,30),"Lewat target",IF(IFERROR(DATEVALUE(G66),G66)=DATE(2026,7,30),"Jatuh tempo hari ini",IF(IFERROR(DATEVALUE(G66),G66)&lt;=DATE(2026,8,6),"Segera: maksimal 7 hari","Masih ada waktu"))))</f>
        <v>Masih ada waktu</v>
      </c>
      <c r="M66" s="49" t="s">
        <v>1669</v>
      </c>
    </row>
    <row r="67" spans="1:13" ht="72.5" x14ac:dyDescent="0.35">
      <c r="A67" s="49" t="str">
        <f>IF(INDEX('01B_Findings_ID'!$G$5:$G$66,MATCH(B67,'01B_Findings_ID'!$A$5:$A$66,0))="Ya",IF(INDEX('01B_Findings_ID'!$F$5:$F$66,MATCH(B67,'01B_Findings_ID'!$A$5:$A$66,0))="Kritis","Sangat mendesak",IF(INDEX('01B_Findings_ID'!$F$5:$F$66,MATCH(B67,'01B_Findings_ID'!$A$5:$A$66,0))="Tinggi","Mendesak","Penting")),IF(INDEX('01B_Findings_ID'!$F$5:$F$66,MATCH(B67,'01B_Findings_ID'!$A$5:$A$66,0))="Kritis","Mendesak",IF(INDEX('01B_Findings_ID'!$F$5:$F$66,MATCH(B67,'01B_Findings_ID'!$A$5:$A$66,0))="Tinggi","Penting","Dapat dijadwalkan")))</f>
        <v>Dapat dijadwalkan</v>
      </c>
      <c r="B67" s="48" t="str">
        <f>'01B_Findings_ID'!A42</f>
        <v>QC-038</v>
      </c>
      <c r="C67" s="49" t="str">
        <f>'01B_Findings_ID'!C42</f>
        <v>Collection</v>
      </c>
      <c r="D67" s="49" t="str">
        <f>'01B_Findings_ID'!H42</f>
        <v>Kolom bucket pada worklist menempatkan seluruh saldo ke bucket tertua</v>
      </c>
      <c r="E67" s="49" t="str">
        <f>'01B_Findings_ID'!J42</f>
        <v>Beri label 'Bucket tertua', atau pecah saldo pelanggan per bucket.</v>
      </c>
      <c r="F67" s="49" t="str">
        <f>'01B_Findings_ID'!L42</f>
        <v>Frontend</v>
      </c>
      <c r="G67" s="55" t="str">
        <f>'01B_Findings_ID'!M42</f>
        <v>2026-08-18</v>
      </c>
      <c r="H67" s="49" t="str">
        <f>IF(INDEX('01B_Findings_ID'!$N$5:$N$66,MATCH(B67,'01B_Findings_ID'!$A$5:$A$66,0))="Terbuka","Belum selesai",INDEX('01B_Findings_ID'!$N$5:$N$66,MATCH(B67,'01B_Findings_ID'!$A$5:$A$66,0)))</f>
        <v>Belum selesai</v>
      </c>
      <c r="I67" s="49" t="s">
        <v>1626</v>
      </c>
      <c r="J67" s="49" t="s">
        <v>1627</v>
      </c>
      <c r="K67" s="54" t="s">
        <v>1503</v>
      </c>
      <c r="L67" s="54" t="str">
        <f>IF(H67&lt;&gt;"Belum selesai","Sudah ditutup",IF(IFERROR(DATEVALUE(G67),G67)&lt;DATE(2026,7,30),"Lewat target",IF(IFERROR(DATEVALUE(G67),G67)=DATE(2026,7,30),"Jatuh tempo hari ini",IF(IFERROR(DATEVALUE(G67),G67)&lt;=DATE(2026,8,6),"Segera: maksimal 7 hari","Masih ada waktu"))))</f>
        <v>Masih ada waktu</v>
      </c>
      <c r="M67" s="49" t="s">
        <v>1670</v>
      </c>
    </row>
    <row r="68" spans="1:13" x14ac:dyDescent="0.35">
      <c r="I68" s="49"/>
      <c r="J68" s="49"/>
      <c r="K68" s="49"/>
      <c r="L68" s="49"/>
    </row>
    <row r="69" spans="1:13" ht="22" customHeight="1" x14ac:dyDescent="0.35"/>
  </sheetData>
  <mergeCells count="6">
    <mergeCell ref="A4:M4"/>
    <mergeCell ref="A8:M8"/>
    <mergeCell ref="I5:L5"/>
    <mergeCell ref="A1:M1"/>
    <mergeCell ref="A2:M2"/>
    <mergeCell ref="A3:M3"/>
  </mergeCells>
  <conditionalFormatting sqref="G10:G67">
    <cfRule type="expression" dxfId="6" priority="3">
      <formula>AND($G10&lt;TODAY(),$H10="Terbuka")</formula>
    </cfRule>
  </conditionalFormatting>
  <conditionalFormatting sqref="A10:A67">
    <cfRule type="expression" dxfId="5" priority="7">
      <formula>$A10="Sangat mendesak"</formula>
    </cfRule>
  </conditionalFormatting>
  <conditionalFormatting sqref="A10:A67">
    <cfRule type="expression" dxfId="4" priority="8">
      <formula>$A10="Mendesak"</formula>
    </cfRule>
  </conditionalFormatting>
  <conditionalFormatting sqref="A10:A67">
    <cfRule type="expression" dxfId="3" priority="9">
      <formula>$A10="Penting"</formula>
    </cfRule>
  </conditionalFormatting>
  <conditionalFormatting sqref="K10:K67">
    <cfRule type="expression" dxfId="2" priority="10">
      <formula>$K10="Sudah"</formula>
    </cfRule>
  </conditionalFormatting>
  <conditionalFormatting sqref="K10:K67">
    <cfRule type="expression" dxfId="1" priority="11">
      <formula>$K10="Belum"</formula>
    </cfRule>
  </conditionalFormatting>
  <dataValidations count="2">
    <dataValidation type="list" allowBlank="1" showInputMessage="1" showErrorMessage="1" sqref="L10 L11:L67" xr:uid="{3EEC7AF1-B022-45AD-83F6-05B7A337B7A3}">
      <formula1>"Belum,Selesai"</formula1>
    </dataValidation>
    <dataValidation type="list" allowBlank="1" showInputMessage="1" showErrorMessage="1" sqref="K10 K11:K67" xr:uid="{2F575336-07D4-43EA-BBD4-282796D75386}">
      <formula1>"Belum,Sudah"</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00_Summary</vt:lpstr>
      <vt:lpstr>0A_Cari_Cepat</vt:lpstr>
      <vt:lpstr>00B_Panduan_Bahasa</vt:lpstr>
      <vt:lpstr>01_Findings</vt:lpstr>
      <vt:lpstr>01B_Findings_ID</vt:lpstr>
      <vt:lpstr>02_Manual_Test_Checklist</vt:lpstr>
      <vt:lpstr>02B_Manual_Test_Checklist_ID</vt:lpstr>
      <vt:lpstr>03_Formula_Checks</vt:lpstr>
      <vt:lpstr>04_Dataset_Requirements</vt:lpstr>
      <vt:lpstr>05_Filter_Requirements</vt:lpstr>
      <vt:lpstr>06_Demo_Readiness_Gate</vt:lpstr>
      <vt:lpstr>06B_Demo_Readiness_Gate_ID</vt:lpstr>
      <vt:lpstr>07_To_Do_List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 A Sena</cp:lastModifiedBy>
  <cp:revision>7</cp:revision>
  <dcterms:created xsi:type="dcterms:W3CDTF">2026-07-28T08:07:51Z</dcterms:created>
  <dcterms:modified xsi:type="dcterms:W3CDTF">2026-07-30T10:20:27Z</dcterms:modified>
  <dc:language>en-US</dc:language>
</cp:coreProperties>
</file>